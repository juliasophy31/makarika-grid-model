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\Documents\AA- Master SET\internship\code\venv\data\"/>
    </mc:Choice>
  </mc:AlternateContent>
  <xr:revisionPtr revIDLastSave="0" documentId="13_ncr:1_{800A490C-E0A1-40E0-9513-326D822A0DDB}" xr6:coauthVersionLast="47" xr6:coauthVersionMax="47" xr10:uidLastSave="{00000000-0000-0000-0000-000000000000}"/>
  <bookViews>
    <workbookView xWindow="-108" yWindow="-108" windowWidth="23256" windowHeight="12456" firstSheet="1" activeTab="2" xr2:uid="{4370AEC2-EBEF-4D94-8C60-94E96402C99B}"/>
  </bookViews>
  <sheets>
    <sheet name="loads_profile" sheetId="1" r:id="rId1"/>
    <sheet name="Calculations" sheetId="2" r:id="rId2"/>
    <sheet name="summer_no_marae" sheetId="3" r:id="rId3"/>
    <sheet name="summer_marae" sheetId="4" r:id="rId4"/>
    <sheet name="winter_no_marae" sheetId="5" r:id="rId5"/>
    <sheet name="winter_mara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C28" i="2"/>
  <c r="B29" i="2" s="1"/>
  <c r="E31" i="2" s="1"/>
  <c r="E32" i="2" s="1"/>
  <c r="B28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" i="2"/>
  <c r="D2" i="2"/>
  <c r="I12" i="2"/>
  <c r="I16" i="2"/>
  <c r="E2" i="2"/>
  <c r="E34" i="2" l="1"/>
  <c r="E33" i="2"/>
  <c r="E35" i="2" s="1"/>
  <c r="I6" i="2"/>
  <c r="I14" i="2"/>
  <c r="I22" i="2"/>
  <c r="I7" i="2"/>
  <c r="I15" i="2"/>
  <c r="I23" i="2"/>
  <c r="I9" i="2"/>
  <c r="I17" i="2"/>
  <c r="I25" i="2"/>
  <c r="I5" i="2"/>
  <c r="I13" i="2"/>
  <c r="I21" i="2"/>
  <c r="I11" i="2"/>
  <c r="I2" i="2"/>
  <c r="I10" i="2"/>
  <c r="I8" i="2"/>
  <c r="I20" i="2"/>
  <c r="I4" i="2"/>
  <c r="I19" i="2"/>
  <c r="I3" i="2"/>
  <c r="I24" i="2"/>
  <c r="I18" i="2"/>
  <c r="F3" i="6" l="1"/>
  <c r="F11" i="6"/>
  <c r="F19" i="6"/>
  <c r="C3" i="6"/>
  <c r="C11" i="6"/>
  <c r="C19" i="6"/>
  <c r="H25" i="6"/>
  <c r="H23" i="6"/>
  <c r="H21" i="6"/>
  <c r="H19" i="6"/>
  <c r="H17" i="6"/>
  <c r="H15" i="6"/>
  <c r="H13" i="6"/>
  <c r="H11" i="6"/>
  <c r="H9" i="6"/>
  <c r="H7" i="6"/>
  <c r="H5" i="6"/>
  <c r="H3" i="6"/>
  <c r="B2" i="6" a="1"/>
  <c r="B2" i="6" s="1"/>
  <c r="H10" i="5"/>
  <c r="H18" i="5"/>
  <c r="H2" i="5"/>
  <c r="G10" i="5"/>
  <c r="G18" i="5"/>
  <c r="G2" i="5"/>
  <c r="E10" i="5"/>
  <c r="E18" i="5"/>
  <c r="E2" i="5"/>
  <c r="D10" i="5"/>
  <c r="D18" i="5"/>
  <c r="D2" i="5"/>
  <c r="F5" i="6"/>
  <c r="E11" i="6"/>
  <c r="E5" i="6"/>
  <c r="H4" i="5"/>
  <c r="G12" i="5"/>
  <c r="F4" i="6"/>
  <c r="F12" i="6"/>
  <c r="F20" i="6"/>
  <c r="C4" i="6"/>
  <c r="C12" i="6"/>
  <c r="C20" i="6"/>
  <c r="G25" i="6"/>
  <c r="G23" i="6"/>
  <c r="G21" i="6"/>
  <c r="G19" i="6"/>
  <c r="G17" i="6"/>
  <c r="G15" i="6"/>
  <c r="G13" i="6"/>
  <c r="G11" i="6"/>
  <c r="G9" i="6"/>
  <c r="G7" i="6"/>
  <c r="G5" i="6"/>
  <c r="G3" i="6"/>
  <c r="H3" i="5"/>
  <c r="H11" i="5"/>
  <c r="H19" i="5"/>
  <c r="G3" i="5"/>
  <c r="G11" i="5"/>
  <c r="G19" i="5"/>
  <c r="E3" i="5"/>
  <c r="E11" i="5"/>
  <c r="E19" i="5"/>
  <c r="D3" i="5"/>
  <c r="D11" i="5"/>
  <c r="D19" i="5"/>
  <c r="B2" i="5" a="1"/>
  <c r="B2" i="5" s="1"/>
  <c r="F13" i="6"/>
  <c r="E17" i="6"/>
  <c r="E9" i="6"/>
  <c r="E7" i="6"/>
  <c r="E3" i="6"/>
  <c r="H12" i="5"/>
  <c r="H20" i="5"/>
  <c r="G4" i="5"/>
  <c r="F6" i="6"/>
  <c r="F14" i="6"/>
  <c r="F22" i="6"/>
  <c r="C6" i="6"/>
  <c r="C14" i="6"/>
  <c r="C22" i="6"/>
  <c r="D25" i="6"/>
  <c r="D23" i="6"/>
  <c r="D21" i="6"/>
  <c r="D19" i="6"/>
  <c r="D17" i="6"/>
  <c r="D15" i="6"/>
  <c r="D13" i="6"/>
  <c r="D11" i="6"/>
  <c r="D9" i="6"/>
  <c r="D7" i="6"/>
  <c r="D5" i="6"/>
  <c r="D3" i="6"/>
  <c r="H5" i="5"/>
  <c r="H13" i="5"/>
  <c r="H21" i="5"/>
  <c r="G5" i="5"/>
  <c r="G13" i="5"/>
  <c r="G21" i="5"/>
  <c r="E5" i="5"/>
  <c r="E13" i="5"/>
  <c r="E21" i="5"/>
  <c r="D5" i="5"/>
  <c r="D13" i="5"/>
  <c r="D21" i="5"/>
  <c r="F10" i="6"/>
  <c r="F18" i="6"/>
  <c r="F2" i="6"/>
  <c r="C10" i="6"/>
  <c r="C18" i="6"/>
  <c r="C2" i="6"/>
  <c r="D24" i="6"/>
  <c r="D22" i="6"/>
  <c r="D20" i="6"/>
  <c r="D18" i="6"/>
  <c r="D16" i="6"/>
  <c r="D14" i="6"/>
  <c r="D12" i="6"/>
  <c r="D10" i="6"/>
  <c r="D8" i="6"/>
  <c r="D6" i="6"/>
  <c r="D4" i="6"/>
  <c r="D2" i="6"/>
  <c r="H9" i="5"/>
  <c r="H17" i="5"/>
  <c r="H25" i="5"/>
  <c r="G9" i="5"/>
  <c r="G17" i="5"/>
  <c r="G25" i="5"/>
  <c r="E9" i="5"/>
  <c r="E17" i="5"/>
  <c r="E25" i="5"/>
  <c r="D9" i="5"/>
  <c r="D17" i="5"/>
  <c r="D25" i="5"/>
  <c r="F21" i="6"/>
  <c r="C5" i="6"/>
  <c r="C13" i="6"/>
  <c r="C21" i="6"/>
  <c r="E25" i="6"/>
  <c r="E23" i="6"/>
  <c r="E21" i="6"/>
  <c r="E19" i="6"/>
  <c r="E15" i="6"/>
  <c r="F7" i="6"/>
  <c r="F25" i="6"/>
  <c r="C24" i="6"/>
  <c r="H20" i="6"/>
  <c r="E16" i="6"/>
  <c r="H10" i="6"/>
  <c r="E6" i="6"/>
  <c r="H7" i="5"/>
  <c r="G6" i="5"/>
  <c r="G23" i="5"/>
  <c r="E7" i="5"/>
  <c r="E23" i="5"/>
  <c r="D15" i="5"/>
  <c r="G14" i="5"/>
  <c r="F23" i="6"/>
  <c r="H6" i="6"/>
  <c r="H23" i="5"/>
  <c r="E20" i="5"/>
  <c r="D12" i="5"/>
  <c r="F8" i="6"/>
  <c r="C7" i="6"/>
  <c r="C25" i="6"/>
  <c r="G20" i="6"/>
  <c r="H14" i="6"/>
  <c r="G10" i="6"/>
  <c r="H4" i="6"/>
  <c r="H8" i="5"/>
  <c r="G7" i="5"/>
  <c r="G24" i="5"/>
  <c r="E8" i="5"/>
  <c r="E24" i="5"/>
  <c r="D16" i="5"/>
  <c r="F15" i="6"/>
  <c r="E14" i="5"/>
  <c r="D6" i="5"/>
  <c r="D22" i="5"/>
  <c r="G22" i="6"/>
  <c r="F9" i="6"/>
  <c r="C8" i="6"/>
  <c r="H24" i="6"/>
  <c r="E20" i="6"/>
  <c r="G14" i="6"/>
  <c r="E10" i="6"/>
  <c r="G4" i="6"/>
  <c r="H14" i="5"/>
  <c r="G8" i="5"/>
  <c r="E12" i="5"/>
  <c r="D4" i="5"/>
  <c r="D20" i="5"/>
  <c r="C9" i="6"/>
  <c r="G24" i="6"/>
  <c r="H18" i="6"/>
  <c r="E14" i="6"/>
  <c r="H8" i="6"/>
  <c r="E4" i="6"/>
  <c r="H15" i="5"/>
  <c r="F16" i="6"/>
  <c r="C15" i="6"/>
  <c r="E24" i="6"/>
  <c r="G18" i="6"/>
  <c r="E13" i="6"/>
  <c r="G8" i="6"/>
  <c r="H2" i="6"/>
  <c r="H16" i="5"/>
  <c r="G15" i="5"/>
  <c r="E15" i="5"/>
  <c r="D7" i="5"/>
  <c r="D23" i="5"/>
  <c r="F17" i="6"/>
  <c r="C16" i="6"/>
  <c r="H22" i="6"/>
  <c r="E18" i="6"/>
  <c r="H12" i="6"/>
  <c r="E8" i="6"/>
  <c r="G2" i="6"/>
  <c r="H22" i="5"/>
  <c r="G16" i="5"/>
  <c r="E16" i="5"/>
  <c r="D8" i="5"/>
  <c r="D24" i="5"/>
  <c r="C17" i="6"/>
  <c r="H16" i="6"/>
  <c r="G12" i="6"/>
  <c r="E2" i="6"/>
  <c r="G20" i="5"/>
  <c r="E4" i="5"/>
  <c r="F24" i="6"/>
  <c r="G22" i="5"/>
  <c r="G16" i="6"/>
  <c r="D14" i="5"/>
  <c r="G6" i="6"/>
  <c r="H6" i="5"/>
  <c r="H24" i="5"/>
  <c r="C23" i="6"/>
  <c r="E22" i="6"/>
  <c r="E6" i="5"/>
  <c r="E22" i="5"/>
  <c r="E12" i="6"/>
  <c r="F9" i="4"/>
  <c r="F17" i="4"/>
  <c r="F25" i="4"/>
  <c r="C9" i="4"/>
  <c r="C17" i="4"/>
  <c r="C25" i="4"/>
  <c r="E24" i="4"/>
  <c r="E22" i="4"/>
  <c r="E20" i="4"/>
  <c r="E18" i="4"/>
  <c r="E16" i="4"/>
  <c r="E14" i="4"/>
  <c r="E12" i="4"/>
  <c r="E10" i="4"/>
  <c r="E8" i="4"/>
  <c r="E6" i="4"/>
  <c r="E4" i="4"/>
  <c r="E2" i="4"/>
  <c r="H8" i="3"/>
  <c r="H16" i="3"/>
  <c r="H24" i="3"/>
  <c r="G8" i="3"/>
  <c r="G16" i="3"/>
  <c r="G24" i="3"/>
  <c r="E8" i="3"/>
  <c r="E16" i="3"/>
  <c r="E24" i="3"/>
  <c r="D8" i="3"/>
  <c r="D16" i="3"/>
  <c r="D24" i="3"/>
  <c r="F10" i="4"/>
  <c r="F18" i="4"/>
  <c r="F2" i="4"/>
  <c r="C10" i="4"/>
  <c r="C18" i="4"/>
  <c r="C2" i="4"/>
  <c r="D24" i="4"/>
  <c r="D22" i="4"/>
  <c r="D20" i="4"/>
  <c r="D18" i="4"/>
  <c r="D16" i="4"/>
  <c r="D14" i="4"/>
  <c r="D12" i="4"/>
  <c r="D10" i="4"/>
  <c r="D8" i="4"/>
  <c r="D6" i="4"/>
  <c r="D4" i="4"/>
  <c r="D2" i="4"/>
  <c r="H9" i="3"/>
  <c r="H17" i="3"/>
  <c r="H25" i="3"/>
  <c r="G9" i="3"/>
  <c r="G17" i="3"/>
  <c r="G25" i="3"/>
  <c r="E9" i="3"/>
  <c r="E17" i="3"/>
  <c r="E25" i="3"/>
  <c r="D9" i="3"/>
  <c r="D17" i="3"/>
  <c r="D25" i="3"/>
  <c r="F4" i="4"/>
  <c r="F12" i="4"/>
  <c r="F20" i="4"/>
  <c r="C4" i="4"/>
  <c r="C12" i="4"/>
  <c r="C20" i="4"/>
  <c r="G25" i="4"/>
  <c r="G23" i="4"/>
  <c r="G21" i="4"/>
  <c r="G19" i="4"/>
  <c r="G17" i="4"/>
  <c r="G15" i="4"/>
  <c r="G13" i="4"/>
  <c r="G11" i="4"/>
  <c r="G9" i="4"/>
  <c r="G7" i="4"/>
  <c r="G5" i="4"/>
  <c r="G3" i="4"/>
  <c r="H3" i="3"/>
  <c r="H11" i="3"/>
  <c r="H19" i="3"/>
  <c r="G3" i="3"/>
  <c r="G11" i="3"/>
  <c r="G19" i="3"/>
  <c r="E3" i="3"/>
  <c r="E11" i="3"/>
  <c r="E19" i="3"/>
  <c r="D3" i="3"/>
  <c r="D11" i="3"/>
  <c r="D19" i="3"/>
  <c r="B2" i="3" a="1"/>
  <c r="B2" i="3" s="1"/>
  <c r="F8" i="4"/>
  <c r="F16" i="4"/>
  <c r="F24" i="4"/>
  <c r="C8" i="4"/>
  <c r="C16" i="4"/>
  <c r="C24" i="4"/>
  <c r="G24" i="4"/>
  <c r="G22" i="4"/>
  <c r="G20" i="4"/>
  <c r="G18" i="4"/>
  <c r="G16" i="4"/>
  <c r="G14" i="4"/>
  <c r="G12" i="4"/>
  <c r="G10" i="4"/>
  <c r="G8" i="4"/>
  <c r="G6" i="4"/>
  <c r="G4" i="4"/>
  <c r="G2" i="4"/>
  <c r="H7" i="3"/>
  <c r="H15" i="3"/>
  <c r="H23" i="3"/>
  <c r="G7" i="3"/>
  <c r="G15" i="3"/>
  <c r="G23" i="3"/>
  <c r="E7" i="3"/>
  <c r="E15" i="3"/>
  <c r="E23" i="3"/>
  <c r="D7" i="3"/>
  <c r="D15" i="3"/>
  <c r="D23" i="3"/>
  <c r="F14" i="4"/>
  <c r="C6" i="4"/>
  <c r="C22" i="4"/>
  <c r="D23" i="4"/>
  <c r="D19" i="4"/>
  <c r="D15" i="4"/>
  <c r="D11" i="4"/>
  <c r="D7" i="4"/>
  <c r="D3" i="4"/>
  <c r="H13" i="3"/>
  <c r="G5" i="3"/>
  <c r="G21" i="3"/>
  <c r="E13" i="3"/>
  <c r="D5" i="3"/>
  <c r="D21" i="3"/>
  <c r="F21" i="4"/>
  <c r="E13" i="4"/>
  <c r="E5" i="4"/>
  <c r="H20" i="3"/>
  <c r="E4" i="3"/>
  <c r="D12" i="3"/>
  <c r="F11" i="4"/>
  <c r="H23" i="4"/>
  <c r="H19" i="4"/>
  <c r="H11" i="4"/>
  <c r="H10" i="3"/>
  <c r="F15" i="4"/>
  <c r="C7" i="4"/>
  <c r="C23" i="4"/>
  <c r="H22" i="4"/>
  <c r="H18" i="4"/>
  <c r="H14" i="4"/>
  <c r="H10" i="4"/>
  <c r="H6" i="4"/>
  <c r="H2" i="4"/>
  <c r="H14" i="3"/>
  <c r="G6" i="3"/>
  <c r="G22" i="3"/>
  <c r="E14" i="3"/>
  <c r="D6" i="3"/>
  <c r="D22" i="3"/>
  <c r="H17" i="4"/>
  <c r="F5" i="4"/>
  <c r="C13" i="4"/>
  <c r="E25" i="4"/>
  <c r="E21" i="4"/>
  <c r="E17" i="4"/>
  <c r="E9" i="4"/>
  <c r="H4" i="3"/>
  <c r="G12" i="3"/>
  <c r="E20" i="3"/>
  <c r="C19" i="4"/>
  <c r="H15" i="4"/>
  <c r="H3" i="4"/>
  <c r="G18" i="3"/>
  <c r="F3" i="4"/>
  <c r="F19" i="4"/>
  <c r="C11" i="4"/>
  <c r="H25" i="4"/>
  <c r="H21" i="4"/>
  <c r="H13" i="4"/>
  <c r="H9" i="4"/>
  <c r="H5" i="4"/>
  <c r="B2" i="4" a="1"/>
  <c r="B2" i="4" s="1"/>
  <c r="H18" i="3"/>
  <c r="G10" i="3"/>
  <c r="G2" i="3"/>
  <c r="E18" i="3"/>
  <c r="D10" i="3"/>
  <c r="D2" i="3"/>
  <c r="F6" i="4"/>
  <c r="F22" i="4"/>
  <c r="C14" i="4"/>
  <c r="D25" i="4"/>
  <c r="D21" i="4"/>
  <c r="D17" i="4"/>
  <c r="D13" i="4"/>
  <c r="D9" i="4"/>
  <c r="D5" i="4"/>
  <c r="H5" i="3"/>
  <c r="H21" i="3"/>
  <c r="G13" i="3"/>
  <c r="E5" i="3"/>
  <c r="E21" i="3"/>
  <c r="D13" i="3"/>
  <c r="F7" i="4"/>
  <c r="F23" i="4"/>
  <c r="C15" i="4"/>
  <c r="H24" i="4"/>
  <c r="H20" i="4"/>
  <c r="H16" i="4"/>
  <c r="H12" i="4"/>
  <c r="H8" i="4"/>
  <c r="H4" i="4"/>
  <c r="H6" i="3"/>
  <c r="H22" i="3"/>
  <c r="G14" i="3"/>
  <c r="E6" i="3"/>
  <c r="E22" i="3"/>
  <c r="D14" i="3"/>
  <c r="C3" i="4"/>
  <c r="H7" i="4"/>
  <c r="H2" i="3"/>
  <c r="E10" i="3"/>
  <c r="E2" i="3"/>
  <c r="D18" i="3"/>
  <c r="C5" i="4"/>
  <c r="H12" i="3"/>
  <c r="E23" i="4"/>
  <c r="E12" i="3"/>
  <c r="E15" i="4"/>
  <c r="D20" i="3"/>
  <c r="C21" i="4"/>
  <c r="G4" i="3"/>
  <c r="G20" i="3"/>
  <c r="E19" i="4"/>
  <c r="D4" i="3"/>
  <c r="E11" i="4"/>
  <c r="E7" i="4"/>
  <c r="F13" i="4"/>
  <c r="E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<sst xmlns="http://schemas.openxmlformats.org/spreadsheetml/2006/main" count="74" uniqueCount="39">
  <si>
    <t>timestamp</t>
  </si>
  <si>
    <t>load_bus4_kw</t>
  </si>
  <si>
    <t>load_bus10_kw</t>
  </si>
  <si>
    <t>load_bus11_kw</t>
  </si>
  <si>
    <t>load_bus17_kw</t>
  </si>
  <si>
    <t>load_bus18_kw</t>
  </si>
  <si>
    <t>load_bus20_kw</t>
  </si>
  <si>
    <t>load_bus21_kw</t>
  </si>
  <si>
    <t>summer (kW)</t>
  </si>
  <si>
    <t>winter (kW)</t>
  </si>
  <si>
    <t>normalised summer</t>
  </si>
  <si>
    <t xml:space="preserve">normalised winter </t>
  </si>
  <si>
    <t>max(winter)</t>
  </si>
  <si>
    <t>max(summer)</t>
  </si>
  <si>
    <t xml:space="preserve">ratio summer: winter </t>
  </si>
  <si>
    <t>S+W = 6500</t>
  </si>
  <si>
    <t>W = 1.88S</t>
  </si>
  <si>
    <t>S = 6500/2.88=2257</t>
  </si>
  <si>
    <t>W= 1.88*2257 = 4243</t>
  </si>
  <si>
    <t>S _day = 2257/ 182.5 = 3.1</t>
  </si>
  <si>
    <t>W_day = 4243/182.5= 5.8</t>
  </si>
  <si>
    <t xml:space="preserve">Winter daily load </t>
  </si>
  <si>
    <t xml:space="preserve">Summer daily load </t>
  </si>
  <si>
    <t>Marae multiplier</t>
  </si>
  <si>
    <t>low_user multiplier</t>
  </si>
  <si>
    <t>high user multiplier</t>
  </si>
  <si>
    <t xml:space="preserve">3 loads (including marae) have regular load, 2 high user, 2 low users. </t>
  </si>
  <si>
    <t>standard user</t>
  </si>
  <si>
    <t>Load 4</t>
  </si>
  <si>
    <t>load 21</t>
  </si>
  <si>
    <t>high</t>
  </si>
  <si>
    <t>load 20</t>
  </si>
  <si>
    <t>low</t>
  </si>
  <si>
    <t>load 10</t>
  </si>
  <si>
    <t>standard (marae)</t>
  </si>
  <si>
    <t xml:space="preserve">load 18 </t>
  </si>
  <si>
    <t>load 11</t>
  </si>
  <si>
    <t xml:space="preserve">load 17 </t>
  </si>
  <si>
    <t>No marae 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</si>
</sst>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4" fillId="0" borderId="0" xfId="0" applyFont="1"/>
    <xf numFmtId="0" fontId="16" fillId="0" borderId="0" xfId="0" applyFont="1"/>
    <xf numFmtId="0" fontId="0" fillId="0" borderId="10" xfId="0" applyBorder="1"/>
    <xf numFmtId="0" fontId="14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 Daily</a:t>
            </a:r>
            <a:r>
              <a:rPr lang="nl-NL" baseline="0"/>
              <a:t> load profile (Summer vs Winter)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Summer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Calculations!$A$2:$A$25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Calculations!$H$2:$H$25</c:f>
              <c:numCache>
                <c:formatCode>General</c:formatCode>
                <c:ptCount val="24"/>
                <c:pt idx="0">
                  <c:v>0.5</c:v>
                </c:pt>
                <c:pt idx="1">
                  <c:v>0.48</c:v>
                </c:pt>
                <c:pt idx="2">
                  <c:v>0.45</c:v>
                </c:pt>
                <c:pt idx="3">
                  <c:v>0.44</c:v>
                </c:pt>
                <c:pt idx="4">
                  <c:v>0.45</c:v>
                </c:pt>
                <c:pt idx="5">
                  <c:v>0.52</c:v>
                </c:pt>
                <c:pt idx="6">
                  <c:v>0.57999999999999996</c:v>
                </c:pt>
                <c:pt idx="7">
                  <c:v>0.94</c:v>
                </c:pt>
                <c:pt idx="8">
                  <c:v>0.8</c:v>
                </c:pt>
                <c:pt idx="9">
                  <c:v>0.62</c:v>
                </c:pt>
                <c:pt idx="10">
                  <c:v>0.5</c:v>
                </c:pt>
                <c:pt idx="11">
                  <c:v>0.5</c:v>
                </c:pt>
                <c:pt idx="12">
                  <c:v>0.39</c:v>
                </c:pt>
                <c:pt idx="13">
                  <c:v>0.35</c:v>
                </c:pt>
                <c:pt idx="14">
                  <c:v>0.3</c:v>
                </c:pt>
                <c:pt idx="15">
                  <c:v>0.35</c:v>
                </c:pt>
                <c:pt idx="16">
                  <c:v>0.45</c:v>
                </c:pt>
                <c:pt idx="17">
                  <c:v>0.7</c:v>
                </c:pt>
                <c:pt idx="18">
                  <c:v>0.92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0.87</c:v>
                </c:pt>
                <c:pt idx="23">
                  <c:v>0.62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D6-488E-9580-AB08F0B9E9DA}"/>
            </c:ext>
          </c:extLst>
        </c:ser>
        <c:ser>
          <c:idx val="1"/>
          <c:order val="1"/>
          <c:tx>
            <c:v>Winter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Calculations!$A$2:$A$25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Calculations!$I$2:$I$25</c:f>
              <c:numCache>
                <c:formatCode>General</c:formatCode>
                <c:ptCount val="24"/>
                <c:pt idx="0">
                  <c:v>0.33636363636363631</c:v>
                </c:pt>
                <c:pt idx="1">
                  <c:v>0.3</c:v>
                </c:pt>
                <c:pt idx="2">
                  <c:v>0.26363636363636361</c:v>
                </c:pt>
                <c:pt idx="3">
                  <c:v>0.25</c:v>
                </c:pt>
                <c:pt idx="4">
                  <c:v>0.31818181818181812</c:v>
                </c:pt>
                <c:pt idx="5">
                  <c:v>0.3863636363636363</c:v>
                </c:pt>
                <c:pt idx="6">
                  <c:v>0.54545454545454541</c:v>
                </c:pt>
                <c:pt idx="7">
                  <c:v>0.84090909090909083</c:v>
                </c:pt>
                <c:pt idx="8">
                  <c:v>0.68181818181818177</c:v>
                </c:pt>
                <c:pt idx="9">
                  <c:v>0.49090909090909091</c:v>
                </c:pt>
                <c:pt idx="10">
                  <c:v>0.40909090909090906</c:v>
                </c:pt>
                <c:pt idx="11">
                  <c:v>0.39545454545454545</c:v>
                </c:pt>
                <c:pt idx="12">
                  <c:v>0.37272727272727268</c:v>
                </c:pt>
                <c:pt idx="13">
                  <c:v>0.3454545454545454</c:v>
                </c:pt>
                <c:pt idx="14">
                  <c:v>0.33636363636363631</c:v>
                </c:pt>
                <c:pt idx="15">
                  <c:v>0.3454545454545454</c:v>
                </c:pt>
                <c:pt idx="16">
                  <c:v>0.50909090909090915</c:v>
                </c:pt>
                <c:pt idx="17">
                  <c:v>0.81818181818181812</c:v>
                </c:pt>
                <c:pt idx="18">
                  <c:v>1</c:v>
                </c:pt>
                <c:pt idx="19">
                  <c:v>0.95454545454545447</c:v>
                </c:pt>
                <c:pt idx="20">
                  <c:v>0.88636363636363624</c:v>
                </c:pt>
                <c:pt idx="21">
                  <c:v>0.79545454545454541</c:v>
                </c:pt>
                <c:pt idx="22">
                  <c:v>0.59090909090909083</c:v>
                </c:pt>
                <c:pt idx="23">
                  <c:v>0.39545454545454545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D6-488E-9580-AB08F0B9E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256463"/>
        <c:axId val="1136256943"/>
      </c:scatterChart>
      <c:valAx>
        <c:axId val="11362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36256943"/>
        <c:crosses val="autoZero"/>
        <c:crossBetween val="midCat"/>
      </c:valAx>
      <c:valAx>
        <c:axId val="113625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Normalised load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3625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67627</xdr:colOff>
      <xdr:row>1</xdr:row>
      <xdr:rowOff>86677</xdr:rowOff>
    </xdr:from>
    <xdr:to>
      <xdr:col>19</xdr:col>
      <xdr:colOff>374332</xdr:colOff>
      <xdr:row>16</xdr:row>
      <xdr:rowOff>111442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5B0116-39F8-A6FB-1417-E333C680A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2D50-E570-477E-8E02-BEDB7294D7EE}">
  <dimension ref="A1:H27"/>
  <sheetViews>
    <sheetView workbookViewId="0">
      <selection activeCell="A2" sqref="A2:A2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>
        <v>0.48</v>
      </c>
      <c r="C2">
        <v>0.45</v>
      </c>
      <c r="D2">
        <v>0.39</v>
      </c>
      <c r="E2">
        <v>0.51</v>
      </c>
      <c r="F2">
        <v>0.45</v>
      </c>
      <c r="G2">
        <v>0.51</v>
      </c>
      <c r="H2">
        <v>0.42</v>
      </c>
    </row>
    <row r="3" spans="1:8" x14ac:dyDescent="0.3">
      <c r="A3">
        <v>1</v>
      </c>
      <c r="B3">
        <v>0.44800000000000001</v>
      </c>
      <c r="C3">
        <v>0.42</v>
      </c>
      <c r="D3">
        <v>0.36399999999999999</v>
      </c>
      <c r="E3">
        <v>0.47599999999999998</v>
      </c>
      <c r="F3">
        <v>0.42</v>
      </c>
      <c r="G3">
        <v>0.47599999999999998</v>
      </c>
      <c r="H3">
        <v>0.39200000000000002</v>
      </c>
    </row>
    <row r="4" spans="1:8" x14ac:dyDescent="0.3">
      <c r="A4">
        <v>2</v>
      </c>
      <c r="B4">
        <v>0.432</v>
      </c>
      <c r="C4">
        <v>0.40500000000000003</v>
      </c>
      <c r="D4">
        <v>0.35099999999999998</v>
      </c>
      <c r="E4">
        <v>0.45900000000000002</v>
      </c>
      <c r="F4">
        <v>0.40500000000000003</v>
      </c>
      <c r="G4">
        <v>0.45900000000000002</v>
      </c>
      <c r="H4">
        <v>0.378</v>
      </c>
    </row>
    <row r="5" spans="1:8" x14ac:dyDescent="0.3">
      <c r="A5">
        <v>3</v>
      </c>
      <c r="B5">
        <v>0.41599999999999998</v>
      </c>
      <c r="C5">
        <v>0.39</v>
      </c>
      <c r="D5">
        <v>0.33800000000000002</v>
      </c>
      <c r="E5">
        <v>0.442</v>
      </c>
      <c r="F5">
        <v>0.39</v>
      </c>
      <c r="G5">
        <v>0.442</v>
      </c>
      <c r="H5">
        <v>0.36399999999999999</v>
      </c>
    </row>
    <row r="6" spans="1:8" x14ac:dyDescent="0.3">
      <c r="A6">
        <v>4</v>
      </c>
      <c r="B6">
        <v>0.432</v>
      </c>
      <c r="C6">
        <v>0.40500000000000003</v>
      </c>
      <c r="D6">
        <v>0.35099999999999998</v>
      </c>
      <c r="E6">
        <v>0.45900000000000002</v>
      </c>
      <c r="F6">
        <v>0.40500000000000003</v>
      </c>
      <c r="G6">
        <v>0.45900000000000002</v>
      </c>
      <c r="H6">
        <v>0.378</v>
      </c>
    </row>
    <row r="7" spans="1:8" x14ac:dyDescent="0.3">
      <c r="A7">
        <v>5</v>
      </c>
      <c r="B7">
        <v>0.56000000000000005</v>
      </c>
      <c r="C7">
        <v>0.52500000000000002</v>
      </c>
      <c r="D7">
        <v>0.45500000000000002</v>
      </c>
      <c r="E7">
        <v>0.59499999999999997</v>
      </c>
      <c r="F7">
        <v>0.52500000000000002</v>
      </c>
      <c r="G7">
        <v>0.59499999999999997</v>
      </c>
      <c r="H7">
        <v>0.49</v>
      </c>
    </row>
    <row r="8" spans="1:8" x14ac:dyDescent="0.3">
      <c r="A8">
        <v>6</v>
      </c>
      <c r="B8">
        <v>0.88</v>
      </c>
      <c r="C8">
        <v>0.82499999999999996</v>
      </c>
      <c r="D8">
        <v>0.71499999999999997</v>
      </c>
      <c r="E8">
        <v>0.93500000000000005</v>
      </c>
      <c r="F8">
        <v>0.82499999999999996</v>
      </c>
      <c r="G8">
        <v>0.93500000000000005</v>
      </c>
      <c r="H8">
        <v>0.77</v>
      </c>
    </row>
    <row r="9" spans="1:8" x14ac:dyDescent="0.3">
      <c r="A9">
        <v>7</v>
      </c>
      <c r="B9">
        <v>1.28</v>
      </c>
      <c r="C9">
        <v>1.2</v>
      </c>
      <c r="D9">
        <v>1.04</v>
      </c>
      <c r="E9">
        <v>1.36</v>
      </c>
      <c r="F9">
        <v>1.2</v>
      </c>
      <c r="G9">
        <v>1.36</v>
      </c>
      <c r="H9">
        <v>1.1200000000000001</v>
      </c>
    </row>
    <row r="10" spans="1:8" x14ac:dyDescent="0.3">
      <c r="A10">
        <v>8</v>
      </c>
      <c r="B10">
        <v>1.04</v>
      </c>
      <c r="C10">
        <v>0.97499999999999998</v>
      </c>
      <c r="D10">
        <v>0.84499999999999997</v>
      </c>
      <c r="E10">
        <v>1.105</v>
      </c>
      <c r="F10">
        <v>0.97499999999999998</v>
      </c>
      <c r="G10">
        <v>1.105</v>
      </c>
      <c r="H10">
        <v>0.91</v>
      </c>
    </row>
    <row r="11" spans="1:8" x14ac:dyDescent="0.3">
      <c r="A11">
        <v>9</v>
      </c>
      <c r="B11">
        <v>0.88</v>
      </c>
      <c r="C11">
        <v>0.82499999999999996</v>
      </c>
      <c r="D11">
        <v>0.71499999999999997</v>
      </c>
      <c r="E11">
        <v>0.93500000000000005</v>
      </c>
      <c r="F11">
        <v>0.82499999999999996</v>
      </c>
      <c r="G11">
        <v>0.93500000000000005</v>
      </c>
      <c r="H11">
        <v>0.77</v>
      </c>
    </row>
    <row r="12" spans="1:8" x14ac:dyDescent="0.3">
      <c r="A12">
        <v>10</v>
      </c>
      <c r="B12">
        <v>0.8</v>
      </c>
      <c r="C12">
        <v>0.75</v>
      </c>
      <c r="D12">
        <v>0.65</v>
      </c>
      <c r="E12">
        <v>0.85</v>
      </c>
      <c r="F12">
        <v>0.75</v>
      </c>
      <c r="G12">
        <v>0.85</v>
      </c>
      <c r="H12">
        <v>0.7</v>
      </c>
    </row>
    <row r="13" spans="1:8" x14ac:dyDescent="0.3">
      <c r="A13">
        <v>11</v>
      </c>
      <c r="B13">
        <v>0.76800000000000002</v>
      </c>
      <c r="C13">
        <v>0.72</v>
      </c>
      <c r="D13">
        <v>0.624</v>
      </c>
      <c r="E13">
        <v>0.81599999999999995</v>
      </c>
      <c r="F13">
        <v>0.72</v>
      </c>
      <c r="G13">
        <v>0.81599999999999995</v>
      </c>
      <c r="H13">
        <v>0.67200000000000004</v>
      </c>
    </row>
    <row r="14" spans="1:8" x14ac:dyDescent="0.3">
      <c r="A14">
        <v>12</v>
      </c>
      <c r="B14">
        <v>0.8</v>
      </c>
      <c r="C14">
        <v>0.75</v>
      </c>
      <c r="D14">
        <v>0.65</v>
      </c>
      <c r="E14">
        <v>0.85</v>
      </c>
      <c r="F14">
        <v>0.75</v>
      </c>
      <c r="G14">
        <v>0.85</v>
      </c>
      <c r="H14">
        <v>0.7</v>
      </c>
    </row>
    <row r="15" spans="1:8" x14ac:dyDescent="0.3">
      <c r="A15">
        <v>13</v>
      </c>
      <c r="B15">
        <v>0.88</v>
      </c>
      <c r="C15">
        <v>0.82499999999999996</v>
      </c>
      <c r="D15">
        <v>0.71499999999999997</v>
      </c>
      <c r="E15">
        <v>0.93500000000000005</v>
      </c>
      <c r="F15">
        <v>0.82499999999999996</v>
      </c>
      <c r="G15">
        <v>0.93500000000000005</v>
      </c>
      <c r="H15">
        <v>0.77</v>
      </c>
    </row>
    <row r="16" spans="1:8" x14ac:dyDescent="0.3">
      <c r="A16">
        <v>14</v>
      </c>
      <c r="B16">
        <v>0.96</v>
      </c>
      <c r="C16">
        <v>0.9</v>
      </c>
      <c r="D16">
        <v>0.78</v>
      </c>
      <c r="E16">
        <v>1.02</v>
      </c>
      <c r="F16">
        <v>0.9</v>
      </c>
      <c r="G16">
        <v>1.02</v>
      </c>
      <c r="H16">
        <v>0.84</v>
      </c>
    </row>
    <row r="17" spans="1:8" x14ac:dyDescent="0.3">
      <c r="A17">
        <v>15</v>
      </c>
      <c r="B17">
        <v>1.1200000000000001</v>
      </c>
      <c r="C17">
        <v>1.05</v>
      </c>
      <c r="D17">
        <v>0.91</v>
      </c>
      <c r="E17">
        <v>1.19</v>
      </c>
      <c r="F17">
        <v>1.05</v>
      </c>
      <c r="G17">
        <v>1.19</v>
      </c>
      <c r="H17">
        <v>0.98</v>
      </c>
    </row>
    <row r="18" spans="1:8" x14ac:dyDescent="0.3">
      <c r="A18">
        <v>16</v>
      </c>
      <c r="B18">
        <v>1.36</v>
      </c>
      <c r="C18">
        <v>1.2749999999999999</v>
      </c>
      <c r="D18">
        <v>1.105</v>
      </c>
      <c r="E18">
        <v>1.4450000000000001</v>
      </c>
      <c r="F18">
        <v>1.2749999999999999</v>
      </c>
      <c r="G18">
        <v>1.4450000000000001</v>
      </c>
      <c r="H18">
        <v>1.19</v>
      </c>
    </row>
    <row r="19" spans="1:8" x14ac:dyDescent="0.3">
      <c r="A19">
        <v>17</v>
      </c>
      <c r="B19">
        <v>1.6</v>
      </c>
      <c r="C19">
        <v>1.5</v>
      </c>
      <c r="D19">
        <v>1.3</v>
      </c>
      <c r="E19">
        <v>1.7</v>
      </c>
      <c r="F19">
        <v>1.5</v>
      </c>
      <c r="G19">
        <v>1.7</v>
      </c>
      <c r="H19">
        <v>1.4</v>
      </c>
    </row>
    <row r="20" spans="1:8" x14ac:dyDescent="0.3">
      <c r="A20">
        <v>18</v>
      </c>
      <c r="B20">
        <v>1.52</v>
      </c>
      <c r="C20">
        <v>1.425</v>
      </c>
      <c r="D20">
        <v>1.2350000000000001</v>
      </c>
      <c r="E20">
        <v>1.615</v>
      </c>
      <c r="F20">
        <v>1.425</v>
      </c>
      <c r="G20">
        <v>1.615</v>
      </c>
      <c r="H20">
        <v>1.33</v>
      </c>
    </row>
    <row r="21" spans="1:8" x14ac:dyDescent="0.3">
      <c r="A21">
        <v>19</v>
      </c>
      <c r="B21">
        <v>1.36</v>
      </c>
      <c r="C21">
        <v>1.2749999999999999</v>
      </c>
      <c r="D21">
        <v>1.105</v>
      </c>
      <c r="E21">
        <v>1.4450000000000001</v>
      </c>
      <c r="F21">
        <v>1.2749999999999999</v>
      </c>
      <c r="G21">
        <v>1.4450000000000001</v>
      </c>
      <c r="H21">
        <v>1.19</v>
      </c>
    </row>
    <row r="22" spans="1:8" x14ac:dyDescent="0.3">
      <c r="A22">
        <v>20</v>
      </c>
      <c r="B22">
        <v>1.1200000000000001</v>
      </c>
      <c r="C22">
        <v>1.05</v>
      </c>
      <c r="D22">
        <v>0.91</v>
      </c>
      <c r="E22">
        <v>1.19</v>
      </c>
      <c r="F22">
        <v>1.05</v>
      </c>
      <c r="G22">
        <v>1.19</v>
      </c>
      <c r="H22">
        <v>0.98</v>
      </c>
    </row>
    <row r="23" spans="1:8" x14ac:dyDescent="0.3">
      <c r="A23">
        <v>21</v>
      </c>
      <c r="B23">
        <v>0.88</v>
      </c>
      <c r="C23">
        <v>0.82499999999999996</v>
      </c>
      <c r="D23">
        <v>0.71499999999999997</v>
      </c>
      <c r="E23">
        <v>0.93500000000000005</v>
      </c>
      <c r="F23">
        <v>0.82499999999999996</v>
      </c>
      <c r="G23">
        <v>0.93500000000000005</v>
      </c>
      <c r="H23">
        <v>0.77</v>
      </c>
    </row>
    <row r="24" spans="1:8" x14ac:dyDescent="0.3">
      <c r="A24">
        <v>22</v>
      </c>
      <c r="B24">
        <v>0.64</v>
      </c>
      <c r="C24">
        <v>0.6</v>
      </c>
      <c r="D24">
        <v>0.52</v>
      </c>
      <c r="E24">
        <v>0.68</v>
      </c>
      <c r="F24">
        <v>0.6</v>
      </c>
      <c r="G24">
        <v>0.68</v>
      </c>
      <c r="H24">
        <v>0.56000000000000005</v>
      </c>
    </row>
    <row r="25" spans="1:8" x14ac:dyDescent="0.3">
      <c r="A25">
        <v>23</v>
      </c>
      <c r="B25">
        <v>0.51200000000000001</v>
      </c>
      <c r="C25">
        <v>0.48</v>
      </c>
      <c r="D25">
        <v>0.41599999999999998</v>
      </c>
      <c r="E25">
        <v>0.54400000000000004</v>
      </c>
      <c r="F25">
        <v>0.48</v>
      </c>
      <c r="G25">
        <v>0.54400000000000004</v>
      </c>
      <c r="H25">
        <v>0.44800000000000001</v>
      </c>
    </row>
    <row r="27" spans="1:8" x14ac:dyDescent="0.3">
      <c r="B27">
        <v>21.167999999999999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245E-BE50-4EA2-9357-75100615B053}">
  <dimension ref="A1:I47"/>
  <sheetViews>
    <sheetView topLeftCell="A21" workbookViewId="0">
      <selection activeCell="F38" sqref="F38"/>
    </sheetView>
  </sheetViews>
  <sheetFormatPr defaultRowHeight="14.4" x14ac:dyDescent="0.3"/>
  <cols>
    <col min="1" max="1" width="19.88671875" bestFit="1" customWidth="1"/>
    <col min="2" max="2" width="12.44140625" bestFit="1" customWidth="1"/>
    <col min="4" max="4" width="17.6640625" bestFit="1" customWidth="1"/>
    <col min="8" max="8" width="18.5546875" bestFit="1" customWidth="1"/>
  </cols>
  <sheetData>
    <row r="1" spans="1:9" x14ac:dyDescent="0.3">
      <c r="B1" t="s">
        <v>8</v>
      </c>
      <c r="C1" t="s">
        <v>9</v>
      </c>
      <c r="D1" t="s">
        <v>13</v>
      </c>
      <c r="E1" t="s">
        <v>12</v>
      </c>
      <c r="H1" t="s">
        <v>10</v>
      </c>
      <c r="I1" t="s">
        <v>11</v>
      </c>
    </row>
    <row r="2" spans="1:9" x14ac:dyDescent="0.3">
      <c r="A2">
        <v>0</v>
      </c>
      <c r="B2">
        <v>0.5</v>
      </c>
      <c r="C2">
        <v>0.74</v>
      </c>
      <c r="D2">
        <f>MAX(B2:B25)</f>
        <v>1</v>
      </c>
      <c r="E2">
        <f>MAX(B2:C25)</f>
        <v>2.2000000000000002</v>
      </c>
      <c r="H2">
        <f>B2</f>
        <v>0.5</v>
      </c>
      <c r="I2">
        <f>C2/E$2</f>
        <v>0.33636363636363631</v>
      </c>
    </row>
    <row r="3" spans="1:9" x14ac:dyDescent="0.3">
      <c r="A3">
        <v>1</v>
      </c>
      <c r="B3">
        <v>0.48</v>
      </c>
      <c r="C3">
        <v>0.66</v>
      </c>
      <c r="H3">
        <f t="shared" ref="H3:H25" si="0">B3</f>
        <v>0.48</v>
      </c>
      <c r="I3">
        <f t="shared" ref="I3:I25" si="1">C3/E$2</f>
        <v>0.3</v>
      </c>
    </row>
    <row r="4" spans="1:9" x14ac:dyDescent="0.3">
      <c r="A4">
        <v>2</v>
      </c>
      <c r="B4">
        <v>0.45</v>
      </c>
      <c r="C4">
        <v>0.57999999999999996</v>
      </c>
      <c r="H4">
        <f t="shared" si="0"/>
        <v>0.45</v>
      </c>
      <c r="I4">
        <f t="shared" si="1"/>
        <v>0.26363636363636361</v>
      </c>
    </row>
    <row r="5" spans="1:9" x14ac:dyDescent="0.3">
      <c r="A5">
        <v>3</v>
      </c>
      <c r="B5">
        <v>0.44</v>
      </c>
      <c r="C5">
        <v>0.55000000000000004</v>
      </c>
      <c r="H5">
        <f t="shared" si="0"/>
        <v>0.44</v>
      </c>
      <c r="I5">
        <f t="shared" si="1"/>
        <v>0.25</v>
      </c>
    </row>
    <row r="6" spans="1:9" x14ac:dyDescent="0.3">
      <c r="A6">
        <v>4</v>
      </c>
      <c r="B6">
        <v>0.45</v>
      </c>
      <c r="C6">
        <v>0.7</v>
      </c>
      <c r="H6">
        <f t="shared" si="0"/>
        <v>0.45</v>
      </c>
      <c r="I6">
        <f t="shared" si="1"/>
        <v>0.31818181818181812</v>
      </c>
    </row>
    <row r="7" spans="1:9" x14ac:dyDescent="0.3">
      <c r="A7">
        <v>5</v>
      </c>
      <c r="B7">
        <v>0.52</v>
      </c>
      <c r="C7">
        <v>0.85</v>
      </c>
      <c r="H7">
        <f t="shared" si="0"/>
        <v>0.52</v>
      </c>
      <c r="I7">
        <f t="shared" si="1"/>
        <v>0.3863636363636363</v>
      </c>
    </row>
    <row r="8" spans="1:9" x14ac:dyDescent="0.3">
      <c r="A8">
        <v>6</v>
      </c>
      <c r="B8">
        <v>0.57999999999999996</v>
      </c>
      <c r="C8">
        <v>1.2</v>
      </c>
      <c r="H8">
        <f t="shared" si="0"/>
        <v>0.57999999999999996</v>
      </c>
      <c r="I8">
        <f t="shared" si="1"/>
        <v>0.54545454545454541</v>
      </c>
    </row>
    <row r="9" spans="1:9" x14ac:dyDescent="0.3">
      <c r="A9">
        <v>7</v>
      </c>
      <c r="B9">
        <v>0.94</v>
      </c>
      <c r="C9">
        <v>1.85</v>
      </c>
      <c r="H9">
        <f t="shared" si="0"/>
        <v>0.94</v>
      </c>
      <c r="I9">
        <f t="shared" si="1"/>
        <v>0.84090909090909083</v>
      </c>
    </row>
    <row r="10" spans="1:9" x14ac:dyDescent="0.3">
      <c r="A10">
        <v>8</v>
      </c>
      <c r="B10">
        <v>0.8</v>
      </c>
      <c r="C10">
        <v>1.5</v>
      </c>
      <c r="H10">
        <f t="shared" si="0"/>
        <v>0.8</v>
      </c>
      <c r="I10">
        <f t="shared" si="1"/>
        <v>0.68181818181818177</v>
      </c>
    </row>
    <row r="11" spans="1:9" x14ac:dyDescent="0.3">
      <c r="A11">
        <v>9</v>
      </c>
      <c r="B11">
        <v>0.62</v>
      </c>
      <c r="C11">
        <v>1.08</v>
      </c>
      <c r="H11">
        <f t="shared" si="0"/>
        <v>0.62</v>
      </c>
      <c r="I11">
        <f t="shared" si="1"/>
        <v>0.49090909090909091</v>
      </c>
    </row>
    <row r="12" spans="1:9" x14ac:dyDescent="0.3">
      <c r="A12">
        <v>10</v>
      </c>
      <c r="B12">
        <v>0.5</v>
      </c>
      <c r="C12">
        <v>0.9</v>
      </c>
      <c r="H12">
        <f t="shared" si="0"/>
        <v>0.5</v>
      </c>
      <c r="I12">
        <f t="shared" si="1"/>
        <v>0.40909090909090906</v>
      </c>
    </row>
    <row r="13" spans="1:9" x14ac:dyDescent="0.3">
      <c r="A13">
        <v>11</v>
      </c>
      <c r="B13">
        <v>0.5</v>
      </c>
      <c r="C13">
        <v>0.87</v>
      </c>
      <c r="H13">
        <f t="shared" si="0"/>
        <v>0.5</v>
      </c>
      <c r="I13">
        <f t="shared" si="1"/>
        <v>0.39545454545454545</v>
      </c>
    </row>
    <row r="14" spans="1:9" x14ac:dyDescent="0.3">
      <c r="A14">
        <v>12</v>
      </c>
      <c r="B14">
        <v>0.39</v>
      </c>
      <c r="C14">
        <v>0.82</v>
      </c>
      <c r="H14">
        <f t="shared" si="0"/>
        <v>0.39</v>
      </c>
      <c r="I14">
        <f t="shared" si="1"/>
        <v>0.37272727272727268</v>
      </c>
    </row>
    <row r="15" spans="1:9" x14ac:dyDescent="0.3">
      <c r="A15">
        <v>13</v>
      </c>
      <c r="B15">
        <v>0.35</v>
      </c>
      <c r="C15">
        <v>0.76</v>
      </c>
      <c r="H15">
        <f t="shared" si="0"/>
        <v>0.35</v>
      </c>
      <c r="I15">
        <f t="shared" si="1"/>
        <v>0.3454545454545454</v>
      </c>
    </row>
    <row r="16" spans="1:9" x14ac:dyDescent="0.3">
      <c r="A16">
        <v>14</v>
      </c>
      <c r="B16">
        <v>0.3</v>
      </c>
      <c r="C16">
        <v>0.74</v>
      </c>
      <c r="H16">
        <f t="shared" si="0"/>
        <v>0.3</v>
      </c>
      <c r="I16">
        <f t="shared" si="1"/>
        <v>0.33636363636363631</v>
      </c>
    </row>
    <row r="17" spans="1:9" x14ac:dyDescent="0.3">
      <c r="A17">
        <v>15</v>
      </c>
      <c r="B17">
        <v>0.35</v>
      </c>
      <c r="C17">
        <v>0.76</v>
      </c>
      <c r="H17">
        <f t="shared" si="0"/>
        <v>0.35</v>
      </c>
      <c r="I17">
        <f t="shared" si="1"/>
        <v>0.3454545454545454</v>
      </c>
    </row>
    <row r="18" spans="1:9" x14ac:dyDescent="0.3">
      <c r="A18">
        <v>16</v>
      </c>
      <c r="B18">
        <v>0.45</v>
      </c>
      <c r="C18">
        <v>1.1200000000000001</v>
      </c>
      <c r="H18">
        <f t="shared" si="0"/>
        <v>0.45</v>
      </c>
      <c r="I18">
        <f t="shared" si="1"/>
        <v>0.50909090909090915</v>
      </c>
    </row>
    <row r="19" spans="1:9" x14ac:dyDescent="0.3">
      <c r="A19">
        <v>17</v>
      </c>
      <c r="B19">
        <v>0.7</v>
      </c>
      <c r="C19">
        <v>1.8</v>
      </c>
      <c r="H19">
        <f t="shared" si="0"/>
        <v>0.7</v>
      </c>
      <c r="I19">
        <f t="shared" si="1"/>
        <v>0.81818181818181812</v>
      </c>
    </row>
    <row r="20" spans="1:9" x14ac:dyDescent="0.3">
      <c r="A20">
        <v>18</v>
      </c>
      <c r="B20">
        <v>0.92</v>
      </c>
      <c r="C20">
        <v>2.2000000000000002</v>
      </c>
      <c r="H20">
        <f t="shared" si="0"/>
        <v>0.92</v>
      </c>
      <c r="I20">
        <f t="shared" si="1"/>
        <v>1</v>
      </c>
    </row>
    <row r="21" spans="1:9" x14ac:dyDescent="0.3">
      <c r="A21">
        <v>19</v>
      </c>
      <c r="B21">
        <v>1</v>
      </c>
      <c r="C21">
        <v>2.1</v>
      </c>
      <c r="H21">
        <f t="shared" si="0"/>
        <v>1</v>
      </c>
      <c r="I21">
        <f t="shared" si="1"/>
        <v>0.95454545454545447</v>
      </c>
    </row>
    <row r="22" spans="1:9" x14ac:dyDescent="0.3">
      <c r="A22">
        <v>20</v>
      </c>
      <c r="B22">
        <v>1</v>
      </c>
      <c r="C22">
        <v>1.95</v>
      </c>
      <c r="H22">
        <f t="shared" si="0"/>
        <v>1</v>
      </c>
      <c r="I22">
        <f t="shared" si="1"/>
        <v>0.88636363636363624</v>
      </c>
    </row>
    <row r="23" spans="1:9" x14ac:dyDescent="0.3">
      <c r="A23">
        <v>21</v>
      </c>
      <c r="B23">
        <v>1</v>
      </c>
      <c r="C23">
        <v>1.75</v>
      </c>
      <c r="H23">
        <f t="shared" si="0"/>
        <v>1</v>
      </c>
      <c r="I23">
        <f t="shared" si="1"/>
        <v>0.79545454545454541</v>
      </c>
    </row>
    <row r="24" spans="1:9" x14ac:dyDescent="0.3">
      <c r="A24">
        <v>22</v>
      </c>
      <c r="B24">
        <v>0.87</v>
      </c>
      <c r="C24">
        <v>1.3</v>
      </c>
      <c r="H24">
        <f t="shared" si="0"/>
        <v>0.87</v>
      </c>
      <c r="I24">
        <f t="shared" si="1"/>
        <v>0.59090909090909083</v>
      </c>
    </row>
    <row r="25" spans="1:9" x14ac:dyDescent="0.3">
      <c r="A25">
        <v>23</v>
      </c>
      <c r="B25">
        <v>0.62</v>
      </c>
      <c r="C25">
        <v>0.87</v>
      </c>
      <c r="H25">
        <f t="shared" si="0"/>
        <v>0.62</v>
      </c>
      <c r="I25">
        <f t="shared" si="1"/>
        <v>0.39545454545454545</v>
      </c>
    </row>
    <row r="28" spans="1:9" x14ac:dyDescent="0.3">
      <c r="B28">
        <f>SUM(B2:B25)</f>
        <v>14.729999999999995</v>
      </c>
      <c r="C28">
        <f>SUM(C2:C25)</f>
        <v>27.650000000000002</v>
      </c>
    </row>
    <row r="29" spans="1:9" x14ac:dyDescent="0.3">
      <c r="A29" s="2" t="s">
        <v>14</v>
      </c>
      <c r="B29" s="1">
        <f>C28/B28</f>
        <v>1.8771215207060428</v>
      </c>
    </row>
    <row r="31" spans="1:9" x14ac:dyDescent="0.3">
      <c r="B31" t="s">
        <v>15</v>
      </c>
      <c r="E31">
        <f>B29+1</f>
        <v>2.8771215207060425</v>
      </c>
    </row>
    <row r="32" spans="1:9" x14ac:dyDescent="0.3">
      <c r="B32" t="s">
        <v>16</v>
      </c>
      <c r="E32">
        <f>6500/E31</f>
        <v>2259.2024539877298</v>
      </c>
    </row>
    <row r="33" spans="2:5" x14ac:dyDescent="0.3">
      <c r="B33" t="s">
        <v>17</v>
      </c>
      <c r="E33">
        <f>E32*B29</f>
        <v>4240.7975460122707</v>
      </c>
    </row>
    <row r="34" spans="2:5" x14ac:dyDescent="0.3">
      <c r="B34" t="s">
        <v>18</v>
      </c>
      <c r="D34" s="2" t="s">
        <v>22</v>
      </c>
      <c r="E34" s="1">
        <f>E32/365.25/2</f>
        <v>3.0926796084705406</v>
      </c>
    </row>
    <row r="35" spans="2:5" x14ac:dyDescent="0.3">
      <c r="B35" t="s">
        <v>19</v>
      </c>
      <c r="D35" s="2" t="s">
        <v>21</v>
      </c>
      <c r="E35" s="1">
        <f>E33/365.25/2</f>
        <v>5.8053354497087897</v>
      </c>
    </row>
    <row r="36" spans="2:5" x14ac:dyDescent="0.3">
      <c r="B36" t="s">
        <v>20</v>
      </c>
      <c r="D36" s="2" t="s">
        <v>23</v>
      </c>
      <c r="E36" s="1">
        <v>2</v>
      </c>
    </row>
    <row r="37" spans="2:5" x14ac:dyDescent="0.3">
      <c r="D37" s="2" t="s">
        <v>24</v>
      </c>
      <c r="E37" s="1">
        <v>0.9</v>
      </c>
    </row>
    <row r="38" spans="2:5" x14ac:dyDescent="0.3">
      <c r="D38" s="2" t="s">
        <v>25</v>
      </c>
      <c r="E38" s="1">
        <v>1.1000000000000001</v>
      </c>
    </row>
    <row r="39" spans="2:5" x14ac:dyDescent="0.3">
      <c r="D39" s="2" t="s">
        <v>38</v>
      </c>
      <c r="E39" s="1">
        <v>0.5</v>
      </c>
    </row>
    <row r="40" spans="2:5" x14ac:dyDescent="0.3">
      <c r="D40" s="2" t="s">
        <v>26</v>
      </c>
    </row>
    <row r="41" spans="2:5" x14ac:dyDescent="0.3">
      <c r="D41" s="2" t="s">
        <v>28</v>
      </c>
      <c r="E41" t="s">
        <v>27</v>
      </c>
    </row>
    <row r="42" spans="2:5" x14ac:dyDescent="0.3">
      <c r="D42" s="2" t="s">
        <v>29</v>
      </c>
      <c r="E42" t="s">
        <v>30</v>
      </c>
    </row>
    <row r="43" spans="2:5" x14ac:dyDescent="0.3">
      <c r="D43" s="2" t="s">
        <v>31</v>
      </c>
      <c r="E43" t="s">
        <v>32</v>
      </c>
    </row>
    <row r="44" spans="2:5" x14ac:dyDescent="0.3">
      <c r="D44" s="2" t="s">
        <v>33</v>
      </c>
      <c r="E44" t="s">
        <v>34</v>
      </c>
    </row>
    <row r="45" spans="2:5" x14ac:dyDescent="0.3">
      <c r="D45" s="2" t="s">
        <v>35</v>
      </c>
      <c r="E45" t="s">
        <v>34</v>
      </c>
    </row>
    <row r="46" spans="2:5" x14ac:dyDescent="0.3">
      <c r="D46" s="2" t="s">
        <v>36</v>
      </c>
      <c r="E46" t="s">
        <v>30</v>
      </c>
    </row>
    <row r="47" spans="2:5" x14ac:dyDescent="0.3">
      <c r="D47" s="2" t="s">
        <v>37</v>
      </c>
      <c r="E47" t="s">
        <v>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E388-0974-4E93-AD76-0113AE2ED787}">
  <dimension ref="A1:H25"/>
  <sheetViews>
    <sheetView tabSelected="1" workbookViewId="0">
      <selection activeCell="J15" sqref="J15"/>
    </sheetView>
  </sheetViews>
  <sheetFormatPr defaultRowHeight="14.4" x14ac:dyDescent="0.3"/>
  <sheetData>
    <row r="1" spans="1:8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</row>
    <row r="2" spans="1:8" x14ac:dyDescent="0.3">
      <c r="A2">
        <v>0</v>
      </c>
      <c r="B2" cm="1">
        <f t="array" ref="B2:B25">Calculations!E$34*Calculations!H2:H25</f>
        <v>1.5463398042352703</v>
      </c>
      <c r="C2">
        <f>Calculations!E$34*Calculations!H2</f>
        <v>1.5463398042352703</v>
      </c>
      <c r="D2">
        <f>Calculations!E$34*Calculations!E$38*Calculations!H2</f>
        <v>1.7009737846587976</v>
      </c>
      <c r="E2">
        <f>Calculations!E$34*Calculations!E$37*Calculations!H2</f>
        <v>1.3917058238117432</v>
      </c>
      <c r="F2">
        <f>Calculations!E$34*Calculations!H2</f>
        <v>1.5463398042352703</v>
      </c>
      <c r="G2">
        <f>Calculations!E$34*Calculations!E$37*Calculations!H2</f>
        <v>1.3917058238117432</v>
      </c>
      <c r="H2">
        <f>Calculations!E$34*Calculations!E$38*Calculations!H2</f>
        <v>1.7009737846587976</v>
      </c>
    </row>
    <row r="3" spans="1:8" x14ac:dyDescent="0.3">
      <c r="A3">
        <v>1</v>
      </c>
      <c r="B3">
        <v>1.4844862120658595</v>
      </c>
      <c r="C3">
        <f>Calculations!E$34*Calculations!H3</f>
        <v>1.4844862120658595</v>
      </c>
      <c r="D3">
        <f>Calculations!E$34*Calculations!E$38*Calculations!H3</f>
        <v>1.6329348332724456</v>
      </c>
      <c r="E3">
        <f>Calculations!E$34*Calculations!E$37*Calculations!H3</f>
        <v>1.3360375908592734</v>
      </c>
      <c r="F3">
        <f>Calculations!E$34*Calculations!H3</f>
        <v>1.4844862120658595</v>
      </c>
      <c r="G3">
        <f>Calculations!E$34*Calculations!E$37*Calculations!H3</f>
        <v>1.3360375908592734</v>
      </c>
      <c r="H3">
        <f>Calculations!E$34*Calculations!E$38*Calculations!H3</f>
        <v>1.6329348332724456</v>
      </c>
    </row>
    <row r="4" spans="1:8" x14ac:dyDescent="0.3">
      <c r="A4">
        <v>2</v>
      </c>
      <c r="B4">
        <v>1.3917058238117432</v>
      </c>
      <c r="C4">
        <f>Calculations!E$34*Calculations!H4</f>
        <v>1.3917058238117432</v>
      </c>
      <c r="D4">
        <f>Calculations!E$34*Calculations!E$38*Calculations!H4</f>
        <v>1.5308764061929179</v>
      </c>
      <c r="E4">
        <f>Calculations!E$34*Calculations!E$37*Calculations!H4</f>
        <v>1.252535241430569</v>
      </c>
      <c r="F4">
        <f>Calculations!E$34*Calculations!H4</f>
        <v>1.3917058238117432</v>
      </c>
      <c r="G4">
        <f>Calculations!E$34*Calculations!E$37*Calculations!H4</f>
        <v>1.252535241430569</v>
      </c>
      <c r="H4">
        <f>Calculations!E$34*Calculations!E$38*Calculations!H4</f>
        <v>1.5308764061929179</v>
      </c>
    </row>
    <row r="5" spans="1:8" x14ac:dyDescent="0.3">
      <c r="A5">
        <v>3</v>
      </c>
      <c r="B5">
        <v>1.360779027727038</v>
      </c>
      <c r="C5">
        <f>Calculations!E$34*Calculations!H5</f>
        <v>1.360779027727038</v>
      </c>
      <c r="D5">
        <f>Calculations!E$34*Calculations!E$38*Calculations!H5</f>
        <v>1.4968569304997419</v>
      </c>
      <c r="E5">
        <f>Calculations!E$34*Calculations!E$37*Calculations!H5</f>
        <v>1.224701124954334</v>
      </c>
      <c r="F5">
        <f>Calculations!E$34*Calculations!H5</f>
        <v>1.360779027727038</v>
      </c>
      <c r="G5">
        <f>Calculations!E$34*Calculations!E$37*Calculations!H5</f>
        <v>1.224701124954334</v>
      </c>
      <c r="H5">
        <f>Calculations!E$34*Calculations!E$38*Calculations!H5</f>
        <v>1.4968569304997419</v>
      </c>
    </row>
    <row r="6" spans="1:8" x14ac:dyDescent="0.3">
      <c r="A6">
        <v>4</v>
      </c>
      <c r="B6">
        <v>1.3917058238117432</v>
      </c>
      <c r="C6">
        <f>Calculations!E$34*Calculations!H6</f>
        <v>1.3917058238117432</v>
      </c>
      <c r="D6">
        <f>Calculations!E$34*Calculations!E$38*Calculations!H6</f>
        <v>1.5308764061929179</v>
      </c>
      <c r="E6">
        <f>Calculations!E$34*Calculations!E$37*Calculations!H6</f>
        <v>1.252535241430569</v>
      </c>
      <c r="F6">
        <f>Calculations!E$34*Calculations!H6</f>
        <v>1.3917058238117432</v>
      </c>
      <c r="G6">
        <f>Calculations!E$34*Calculations!E$37*Calculations!H6</f>
        <v>1.252535241430569</v>
      </c>
      <c r="H6">
        <f>Calculations!E$34*Calculations!E$38*Calculations!H6</f>
        <v>1.5308764061929179</v>
      </c>
    </row>
    <row r="7" spans="1:8" x14ac:dyDescent="0.3">
      <c r="A7">
        <v>5</v>
      </c>
      <c r="B7">
        <v>1.6081933964046811</v>
      </c>
      <c r="C7">
        <f>Calculations!E$34*Calculations!H7</f>
        <v>1.6081933964046811</v>
      </c>
      <c r="D7">
        <f>Calculations!E$34*Calculations!E$38*Calculations!H7</f>
        <v>1.7690127360451495</v>
      </c>
      <c r="E7">
        <f>Calculations!E$34*Calculations!E$37*Calculations!H7</f>
        <v>1.447374056764213</v>
      </c>
      <c r="F7">
        <f>Calculations!E$34*Calculations!H7</f>
        <v>1.6081933964046811</v>
      </c>
      <c r="G7">
        <f>Calculations!E$34*Calculations!E$37*Calculations!H7</f>
        <v>1.447374056764213</v>
      </c>
      <c r="H7">
        <f>Calculations!E$34*Calculations!E$38*Calculations!H7</f>
        <v>1.7690127360451495</v>
      </c>
    </row>
    <row r="8" spans="1:8" x14ac:dyDescent="0.3">
      <c r="A8">
        <v>6</v>
      </c>
      <c r="B8">
        <v>1.7937541729129134</v>
      </c>
      <c r="C8">
        <f>Calculations!E$34*Calculations!H8</f>
        <v>1.7937541729129134</v>
      </c>
      <c r="D8">
        <f>Calculations!E$34*Calculations!E$38*Calculations!H8</f>
        <v>1.973129590204205</v>
      </c>
      <c r="E8">
        <f>Calculations!E$34*Calculations!E$37*Calculations!H8</f>
        <v>1.614378755621622</v>
      </c>
      <c r="F8">
        <f>Calculations!E$34*Calculations!H8</f>
        <v>1.7937541729129134</v>
      </c>
      <c r="G8">
        <f>Calculations!E$34*Calculations!E$37*Calculations!H8</f>
        <v>1.614378755621622</v>
      </c>
      <c r="H8">
        <f>Calculations!E$34*Calculations!E$38*Calculations!H8</f>
        <v>1.973129590204205</v>
      </c>
    </row>
    <row r="9" spans="1:8" x14ac:dyDescent="0.3">
      <c r="A9">
        <v>7</v>
      </c>
      <c r="B9">
        <v>2.907118831962308</v>
      </c>
      <c r="C9">
        <f>Calculations!E$34*Calculations!H9</f>
        <v>2.907118831962308</v>
      </c>
      <c r="D9">
        <f>Calculations!E$34*Calculations!E$38*Calculations!H9</f>
        <v>3.1978307151585392</v>
      </c>
      <c r="E9">
        <f>Calculations!E$34*Calculations!E$37*Calculations!H9</f>
        <v>2.6164069487660773</v>
      </c>
      <c r="F9">
        <f>Calculations!E$34*Calculations!H9</f>
        <v>2.907118831962308</v>
      </c>
      <c r="G9">
        <f>Calculations!E$34*Calculations!E$37*Calculations!H9</f>
        <v>2.6164069487660773</v>
      </c>
      <c r="H9">
        <f>Calculations!E$34*Calculations!E$38*Calculations!H9</f>
        <v>3.1978307151585392</v>
      </c>
    </row>
    <row r="10" spans="1:8" x14ac:dyDescent="0.3">
      <c r="A10">
        <v>8</v>
      </c>
      <c r="B10">
        <v>2.4741436867764328</v>
      </c>
      <c r="C10">
        <f>Calculations!E$34*Calculations!H10</f>
        <v>2.4741436867764328</v>
      </c>
      <c r="D10">
        <f>Calculations!E$34*Calculations!E$38*Calculations!H10</f>
        <v>2.7215580554540764</v>
      </c>
      <c r="E10">
        <f>Calculations!E$34*Calculations!E$37*Calculations!H10</f>
        <v>2.2267293180987893</v>
      </c>
      <c r="F10">
        <f>Calculations!E$34*Calculations!H10</f>
        <v>2.4741436867764328</v>
      </c>
      <c r="G10">
        <f>Calculations!E$34*Calculations!E$37*Calculations!H10</f>
        <v>2.2267293180987893</v>
      </c>
      <c r="H10">
        <f>Calculations!E$34*Calculations!E$38*Calculations!H10</f>
        <v>2.7215580554540764</v>
      </c>
    </row>
    <row r="11" spans="1:8" x14ac:dyDescent="0.3">
      <c r="A11">
        <v>9</v>
      </c>
      <c r="B11">
        <v>1.9174613572517352</v>
      </c>
      <c r="C11">
        <f>Calculations!E$34*Calculations!H11</f>
        <v>1.9174613572517352</v>
      </c>
      <c r="D11">
        <f>Calculations!E$34*Calculations!E$38*Calculations!H11</f>
        <v>2.1092074929769091</v>
      </c>
      <c r="E11">
        <f>Calculations!E$34*Calculations!E$37*Calculations!H11</f>
        <v>1.7257152215265616</v>
      </c>
      <c r="F11">
        <f>Calculations!E$34*Calculations!H11</f>
        <v>1.9174613572517352</v>
      </c>
      <c r="G11">
        <f>Calculations!E$34*Calculations!E$37*Calculations!H11</f>
        <v>1.7257152215265616</v>
      </c>
      <c r="H11">
        <f>Calculations!E$34*Calculations!E$38*Calculations!H11</f>
        <v>2.1092074929769091</v>
      </c>
    </row>
    <row r="12" spans="1:8" x14ac:dyDescent="0.3">
      <c r="A12">
        <v>10</v>
      </c>
      <c r="B12">
        <v>1.5463398042352703</v>
      </c>
      <c r="C12">
        <f>Calculations!E$34*Calculations!H12</f>
        <v>1.5463398042352703</v>
      </c>
      <c r="D12">
        <f>Calculations!E$34*Calculations!E$38*Calculations!H12</f>
        <v>1.7009737846587976</v>
      </c>
      <c r="E12">
        <f>Calculations!E$34*Calculations!E$37*Calculations!H12</f>
        <v>1.3917058238117432</v>
      </c>
      <c r="F12">
        <f>Calculations!E$34*Calculations!H12</f>
        <v>1.5463398042352703</v>
      </c>
      <c r="G12">
        <f>Calculations!E$34*Calculations!E$37*Calculations!H12</f>
        <v>1.3917058238117432</v>
      </c>
      <c r="H12">
        <f>Calculations!E$34*Calculations!E$38*Calculations!H12</f>
        <v>1.7009737846587976</v>
      </c>
    </row>
    <row r="13" spans="1:8" x14ac:dyDescent="0.3">
      <c r="A13">
        <v>11</v>
      </c>
      <c r="B13">
        <v>1.5463398042352703</v>
      </c>
      <c r="C13">
        <f>Calculations!E$34*Calculations!H13</f>
        <v>1.5463398042352703</v>
      </c>
      <c r="D13">
        <f>Calculations!E$34*Calculations!E$38*Calculations!H13</f>
        <v>1.7009737846587976</v>
      </c>
      <c r="E13">
        <f>Calculations!E$34*Calculations!E$37*Calculations!H13</f>
        <v>1.3917058238117432</v>
      </c>
      <c r="F13">
        <f>Calculations!E$34*Calculations!H13</f>
        <v>1.5463398042352703</v>
      </c>
      <c r="G13">
        <f>Calculations!E$34*Calculations!E$37*Calculations!H13</f>
        <v>1.3917058238117432</v>
      </c>
      <c r="H13">
        <f>Calculations!E$34*Calculations!E$38*Calculations!H13</f>
        <v>1.7009737846587976</v>
      </c>
    </row>
    <row r="14" spans="1:8" x14ac:dyDescent="0.3">
      <c r="A14">
        <v>12</v>
      </c>
      <c r="B14">
        <v>1.2061450473035109</v>
      </c>
      <c r="C14">
        <f>Calculations!E$34*Calculations!H14</f>
        <v>1.2061450473035109</v>
      </c>
      <c r="D14">
        <f>Calculations!E$34*Calculations!E$38*Calculations!H14</f>
        <v>1.3267595520338622</v>
      </c>
      <c r="E14">
        <f>Calculations!E$34*Calculations!E$37*Calculations!H14</f>
        <v>1.0855305425731598</v>
      </c>
      <c r="F14">
        <f>Calculations!E$34*Calculations!H14</f>
        <v>1.2061450473035109</v>
      </c>
      <c r="G14">
        <f>Calculations!E$34*Calculations!E$37*Calculations!H14</f>
        <v>1.0855305425731598</v>
      </c>
      <c r="H14">
        <f>Calculations!E$34*Calculations!E$38*Calculations!H14</f>
        <v>1.3267595520338622</v>
      </c>
    </row>
    <row r="15" spans="1:8" x14ac:dyDescent="0.3">
      <c r="A15">
        <v>13</v>
      </c>
      <c r="B15">
        <v>1.0824378629646891</v>
      </c>
      <c r="C15">
        <f>Calculations!E$34*Calculations!H15</f>
        <v>1.0824378629646891</v>
      </c>
      <c r="D15">
        <f>Calculations!E$34*Calculations!E$38*Calculations!H15</f>
        <v>1.1906816492611583</v>
      </c>
      <c r="E15">
        <f>Calculations!E$34*Calculations!E$37*Calculations!H15</f>
        <v>0.97419407666822022</v>
      </c>
      <c r="F15">
        <f>Calculations!E$34*Calculations!H15</f>
        <v>1.0824378629646891</v>
      </c>
      <c r="G15">
        <f>Calculations!E$34*Calculations!E$37*Calculations!H15</f>
        <v>0.97419407666822022</v>
      </c>
      <c r="H15">
        <f>Calculations!E$34*Calculations!E$38*Calculations!H15</f>
        <v>1.1906816492611583</v>
      </c>
    </row>
    <row r="16" spans="1:8" x14ac:dyDescent="0.3">
      <c r="A16">
        <v>14</v>
      </c>
      <c r="B16">
        <v>0.92780388254116208</v>
      </c>
      <c r="C16">
        <f>Calculations!E$34*Calculations!H16</f>
        <v>0.92780388254116208</v>
      </c>
      <c r="D16">
        <f>Calculations!E$34*Calculations!E$38*Calculations!H16</f>
        <v>1.0205842707952786</v>
      </c>
      <c r="E16">
        <f>Calculations!E$34*Calculations!E$37*Calculations!H16</f>
        <v>0.83502349428704592</v>
      </c>
      <c r="F16">
        <f>Calculations!E$34*Calculations!H16</f>
        <v>0.92780388254116208</v>
      </c>
      <c r="G16">
        <f>Calculations!E$34*Calculations!E$37*Calculations!H16</f>
        <v>0.83502349428704592</v>
      </c>
      <c r="H16">
        <f>Calculations!E$34*Calculations!E$38*Calculations!H16</f>
        <v>1.0205842707952786</v>
      </c>
    </row>
    <row r="17" spans="1:8" x14ac:dyDescent="0.3">
      <c r="A17">
        <v>15</v>
      </c>
      <c r="B17">
        <v>1.0824378629646891</v>
      </c>
      <c r="C17">
        <f>Calculations!E$34*Calculations!H17</f>
        <v>1.0824378629646891</v>
      </c>
      <c r="D17">
        <f>Calculations!E$34*Calculations!E$38*Calculations!H17</f>
        <v>1.1906816492611583</v>
      </c>
      <c r="E17">
        <f>Calculations!E$34*Calculations!E$37*Calculations!H17</f>
        <v>0.97419407666822022</v>
      </c>
      <c r="F17">
        <f>Calculations!E$34*Calculations!H17</f>
        <v>1.0824378629646891</v>
      </c>
      <c r="G17">
        <f>Calculations!E$34*Calculations!E$37*Calculations!H17</f>
        <v>0.97419407666822022</v>
      </c>
      <c r="H17">
        <f>Calculations!E$34*Calculations!E$38*Calculations!H17</f>
        <v>1.1906816492611583</v>
      </c>
    </row>
    <row r="18" spans="1:8" x14ac:dyDescent="0.3">
      <c r="A18">
        <v>16</v>
      </c>
      <c r="B18">
        <v>1.3917058238117432</v>
      </c>
      <c r="C18">
        <f>Calculations!E$34*Calculations!H18</f>
        <v>1.3917058238117432</v>
      </c>
      <c r="D18">
        <f>Calculations!E$34*Calculations!E$38*Calculations!H18</f>
        <v>1.5308764061929179</v>
      </c>
      <c r="E18">
        <f>Calculations!E$34*Calculations!E$37*Calculations!H18</f>
        <v>1.252535241430569</v>
      </c>
      <c r="F18">
        <f>Calculations!E$34*Calculations!H18</f>
        <v>1.3917058238117432</v>
      </c>
      <c r="G18">
        <f>Calculations!E$34*Calculations!E$37*Calculations!H18</f>
        <v>1.252535241430569</v>
      </c>
      <c r="H18">
        <f>Calculations!E$34*Calculations!E$38*Calculations!H18</f>
        <v>1.5308764061929179</v>
      </c>
    </row>
    <row r="19" spans="1:8" x14ac:dyDescent="0.3">
      <c r="A19">
        <v>17</v>
      </c>
      <c r="B19">
        <v>2.1648757259293783</v>
      </c>
      <c r="C19">
        <f>Calculations!E$34*Calculations!H19</f>
        <v>2.1648757259293783</v>
      </c>
      <c r="D19">
        <f>Calculations!E$34*Calculations!E$38*Calculations!H19</f>
        <v>2.3813632985223165</v>
      </c>
      <c r="E19">
        <f>Calculations!E$34*Calculations!E$37*Calculations!H19</f>
        <v>1.9483881533364404</v>
      </c>
      <c r="F19">
        <f>Calculations!E$34*Calculations!H19</f>
        <v>2.1648757259293783</v>
      </c>
      <c r="G19">
        <f>Calculations!E$34*Calculations!E$37*Calculations!H19</f>
        <v>1.9483881533364404</v>
      </c>
      <c r="H19">
        <f>Calculations!E$34*Calculations!E$38*Calculations!H19</f>
        <v>2.3813632985223165</v>
      </c>
    </row>
    <row r="20" spans="1:8" x14ac:dyDescent="0.3">
      <c r="A20">
        <v>18</v>
      </c>
      <c r="B20">
        <v>2.8452652397928975</v>
      </c>
      <c r="C20">
        <f>Calculations!E$34*Calculations!H20</f>
        <v>2.8452652397928975</v>
      </c>
      <c r="D20">
        <f>Calculations!E$34*Calculations!E$38*Calculations!H20</f>
        <v>3.1297917637721877</v>
      </c>
      <c r="E20">
        <f>Calculations!E$34*Calculations!E$37*Calculations!H20</f>
        <v>2.5607387158136077</v>
      </c>
      <c r="F20">
        <f>Calculations!E$34*Calculations!H20</f>
        <v>2.8452652397928975</v>
      </c>
      <c r="G20">
        <f>Calculations!E$34*Calculations!E$37*Calculations!H20</f>
        <v>2.5607387158136077</v>
      </c>
      <c r="H20">
        <f>Calculations!E$34*Calculations!E$38*Calculations!H20</f>
        <v>3.1297917637721877</v>
      </c>
    </row>
    <row r="21" spans="1:8" x14ac:dyDescent="0.3">
      <c r="A21">
        <v>19</v>
      </c>
      <c r="B21">
        <v>3.0926796084705406</v>
      </c>
      <c r="C21">
        <f>Calculations!E$34*Calculations!H21</f>
        <v>3.0926796084705406</v>
      </c>
      <c r="D21">
        <f>Calculations!E$34*Calculations!E$38*Calculations!H21</f>
        <v>3.4019475693175951</v>
      </c>
      <c r="E21">
        <f>Calculations!E$34*Calculations!E$37*Calculations!H21</f>
        <v>2.7834116476234865</v>
      </c>
      <c r="F21">
        <f>Calculations!E$34*Calculations!H21</f>
        <v>3.0926796084705406</v>
      </c>
      <c r="G21">
        <f>Calculations!E$34*Calculations!E$37*Calculations!H21</f>
        <v>2.7834116476234865</v>
      </c>
      <c r="H21">
        <f>Calculations!E$34*Calculations!E$38*Calculations!H21</f>
        <v>3.4019475693175951</v>
      </c>
    </row>
    <row r="22" spans="1:8" x14ac:dyDescent="0.3">
      <c r="A22">
        <v>20</v>
      </c>
      <c r="B22">
        <v>3.0926796084705406</v>
      </c>
      <c r="C22">
        <f>Calculations!E$34*Calculations!H22</f>
        <v>3.0926796084705406</v>
      </c>
      <c r="D22">
        <f>Calculations!E$34*Calculations!E$38*Calculations!H22</f>
        <v>3.4019475693175951</v>
      </c>
      <c r="E22">
        <f>Calculations!E$34*Calculations!E$37*Calculations!H22</f>
        <v>2.7834116476234865</v>
      </c>
      <c r="F22">
        <f>Calculations!E$34*Calculations!H22</f>
        <v>3.0926796084705406</v>
      </c>
      <c r="G22">
        <f>Calculations!E$34*Calculations!E$37*Calculations!H22</f>
        <v>2.7834116476234865</v>
      </c>
      <c r="H22">
        <f>Calculations!E$34*Calculations!E$38*Calculations!H22</f>
        <v>3.4019475693175951</v>
      </c>
    </row>
    <row r="23" spans="1:8" x14ac:dyDescent="0.3">
      <c r="A23">
        <v>21</v>
      </c>
      <c r="B23">
        <v>3.0926796084705406</v>
      </c>
      <c r="C23">
        <f>Calculations!E$34*Calculations!H23</f>
        <v>3.0926796084705406</v>
      </c>
      <c r="D23">
        <f>Calculations!E$34*Calculations!E$38*Calculations!H23</f>
        <v>3.4019475693175951</v>
      </c>
      <c r="E23">
        <f>Calculations!E$34*Calculations!E$37*Calculations!H23</f>
        <v>2.7834116476234865</v>
      </c>
      <c r="F23">
        <f>Calculations!E$34*Calculations!H23</f>
        <v>3.0926796084705406</v>
      </c>
      <c r="G23">
        <f>Calculations!E$34*Calculations!E$37*Calculations!H23</f>
        <v>2.7834116476234865</v>
      </c>
      <c r="H23">
        <f>Calculations!E$34*Calculations!E$38*Calculations!H23</f>
        <v>3.4019475693175951</v>
      </c>
    </row>
    <row r="24" spans="1:8" x14ac:dyDescent="0.3">
      <c r="A24">
        <v>22</v>
      </c>
      <c r="B24">
        <v>2.6906312593693702</v>
      </c>
      <c r="C24">
        <f>Calculations!E$34*Calculations!H24</f>
        <v>2.6906312593693702</v>
      </c>
      <c r="D24">
        <f>Calculations!E$34*Calculations!E$38*Calculations!H24</f>
        <v>2.9596943853063076</v>
      </c>
      <c r="E24">
        <f>Calculations!E$34*Calculations!E$37*Calculations!H24</f>
        <v>2.4215681334324333</v>
      </c>
      <c r="F24">
        <f>Calculations!E$34*Calculations!H24</f>
        <v>2.6906312593693702</v>
      </c>
      <c r="G24">
        <f>Calculations!E$34*Calculations!E$37*Calculations!H24</f>
        <v>2.4215681334324333</v>
      </c>
      <c r="H24">
        <f>Calculations!E$34*Calculations!E$38*Calculations!H24</f>
        <v>2.9596943853063076</v>
      </c>
    </row>
    <row r="25" spans="1:8" x14ac:dyDescent="0.3">
      <c r="A25">
        <v>23</v>
      </c>
      <c r="B25">
        <v>1.9174613572517352</v>
      </c>
      <c r="C25">
        <f>Calculations!E$34*Calculations!H25</f>
        <v>1.9174613572517352</v>
      </c>
      <c r="D25">
        <f>Calculations!E$34*Calculations!E$38*Calculations!H25</f>
        <v>2.1092074929769091</v>
      </c>
      <c r="E25">
        <f>Calculations!E$34*Calculations!E$37*Calculations!H25</f>
        <v>1.7257152215265616</v>
      </c>
      <c r="F25">
        <f>Calculations!E$34*Calculations!H25</f>
        <v>1.9174613572517352</v>
      </c>
      <c r="G25">
        <f>Calculations!E$34*Calculations!E$37*Calculations!H25</f>
        <v>1.7257152215265616</v>
      </c>
      <c r="H25">
        <f>Calculations!E$34*Calculations!E$38*Calculations!H25</f>
        <v>2.1092074929769091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EBE61-8DC2-4255-A566-64D164692C86}">
  <dimension ref="A1:H25"/>
  <sheetViews>
    <sheetView workbookViewId="0">
      <selection activeCell="J28" sqref="J28"/>
    </sheetView>
  </sheetViews>
  <sheetFormatPr defaultRowHeight="14.4" x14ac:dyDescent="0.3"/>
  <sheetData>
    <row r="1" spans="1:8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</row>
    <row r="2" spans="1:8" x14ac:dyDescent="0.3">
      <c r="A2">
        <v>0</v>
      </c>
      <c r="B2" cm="1">
        <f t="array" ref="B2:B25">Calculations!E$34*Calculations!H2:H25</f>
        <v>1.5463398042352703</v>
      </c>
      <c r="C2">
        <f>Calculations!E$34*Calculations!E$36*Calculations!H2</f>
        <v>3.0926796084705406</v>
      </c>
      <c r="D2">
        <f>Calculations!E$34*Calculations!E$38*Calculations!H2</f>
        <v>1.7009737846587976</v>
      </c>
      <c r="E2">
        <f>Calculations!E$34*Calculations!E$37*Calculations!H2</f>
        <v>1.3917058238117432</v>
      </c>
      <c r="F2">
        <f>Calculations!E$34*Calculations!E$36*Calculations!H2</f>
        <v>3.0926796084705406</v>
      </c>
      <c r="G2">
        <f>Calculations!E$34*Calculations!E$37*Calculations!H2</f>
        <v>1.3917058238117432</v>
      </c>
      <c r="H2">
        <f>Calculations!E$34*Calculations!E$38*Calculations!H2</f>
        <v>1.7009737846587976</v>
      </c>
    </row>
    <row r="3" spans="1:8" x14ac:dyDescent="0.3">
      <c r="A3">
        <v>1</v>
      </c>
      <c r="B3">
        <v>1.4844862120658595</v>
      </c>
      <c r="C3">
        <f>Calculations!E$34*Calculations!E$36*Calculations!H3</f>
        <v>2.968972424131719</v>
      </c>
      <c r="D3">
        <f>Calculations!E$34*Calculations!E$38*Calculations!H3</f>
        <v>1.6329348332724456</v>
      </c>
      <c r="E3">
        <f>Calculations!E$34*Calculations!E$37*Calculations!H3</f>
        <v>1.3360375908592734</v>
      </c>
      <c r="F3">
        <f>Calculations!E$34*Calculations!E$36*Calculations!H3</f>
        <v>2.968972424131719</v>
      </c>
      <c r="G3">
        <f>Calculations!E$34*Calculations!E$37*Calculations!H3</f>
        <v>1.3360375908592734</v>
      </c>
      <c r="H3">
        <f>Calculations!E$34*Calculations!E$38*Calculations!H3</f>
        <v>1.6329348332724456</v>
      </c>
    </row>
    <row r="4" spans="1:8" x14ac:dyDescent="0.3">
      <c r="A4">
        <v>2</v>
      </c>
      <c r="B4">
        <v>1.3917058238117432</v>
      </c>
      <c r="C4">
        <f>Calculations!E$34*Calculations!E$36*Calculations!H4</f>
        <v>2.7834116476234865</v>
      </c>
      <c r="D4">
        <f>Calculations!E$34*Calculations!E$38*Calculations!H4</f>
        <v>1.5308764061929179</v>
      </c>
      <c r="E4">
        <f>Calculations!E$34*Calculations!E$37*Calculations!H4</f>
        <v>1.252535241430569</v>
      </c>
      <c r="F4">
        <f>Calculations!E$34*Calculations!E$36*Calculations!H4</f>
        <v>2.7834116476234865</v>
      </c>
      <c r="G4">
        <f>Calculations!E$34*Calculations!E$37*Calculations!H4</f>
        <v>1.252535241430569</v>
      </c>
      <c r="H4">
        <f>Calculations!E$34*Calculations!E$38*Calculations!H4</f>
        <v>1.5308764061929179</v>
      </c>
    </row>
    <row r="5" spans="1:8" x14ac:dyDescent="0.3">
      <c r="A5">
        <v>3</v>
      </c>
      <c r="B5">
        <v>1.360779027727038</v>
      </c>
      <c r="C5">
        <f>Calculations!E$34*Calculations!E$36*Calculations!H5</f>
        <v>2.7215580554540759</v>
      </c>
      <c r="D5">
        <f>Calculations!E$34*Calculations!E$38*Calculations!H5</f>
        <v>1.4968569304997419</v>
      </c>
      <c r="E5">
        <f>Calculations!E$34*Calculations!E$37*Calculations!H5</f>
        <v>1.224701124954334</v>
      </c>
      <c r="F5">
        <f>Calculations!E$34*Calculations!E$36*Calculations!H5</f>
        <v>2.7215580554540759</v>
      </c>
      <c r="G5">
        <f>Calculations!E$34*Calculations!E$37*Calculations!H5</f>
        <v>1.224701124954334</v>
      </c>
      <c r="H5">
        <f>Calculations!E$34*Calculations!E$38*Calculations!H5</f>
        <v>1.4968569304997419</v>
      </c>
    </row>
    <row r="6" spans="1:8" x14ac:dyDescent="0.3">
      <c r="A6">
        <v>4</v>
      </c>
      <c r="B6">
        <v>1.3917058238117432</v>
      </c>
      <c r="C6">
        <f>Calculations!E$34*Calculations!E$36*Calculations!H6</f>
        <v>2.7834116476234865</v>
      </c>
      <c r="D6">
        <f>Calculations!E$34*Calculations!E$38*Calculations!H6</f>
        <v>1.5308764061929179</v>
      </c>
      <c r="E6">
        <f>Calculations!E$34*Calculations!E$37*Calculations!H6</f>
        <v>1.252535241430569</v>
      </c>
      <c r="F6">
        <f>Calculations!E$34*Calculations!E$36*Calculations!H6</f>
        <v>2.7834116476234865</v>
      </c>
      <c r="G6">
        <f>Calculations!E$34*Calculations!E$37*Calculations!H6</f>
        <v>1.252535241430569</v>
      </c>
      <c r="H6">
        <f>Calculations!E$34*Calculations!E$38*Calculations!H6</f>
        <v>1.5308764061929179</v>
      </c>
    </row>
    <row r="7" spans="1:8" x14ac:dyDescent="0.3">
      <c r="A7">
        <v>5</v>
      </c>
      <c r="B7">
        <v>1.6081933964046811</v>
      </c>
      <c r="C7">
        <f>Calculations!E$34*Calculations!E$36*Calculations!H7</f>
        <v>3.2163867928093621</v>
      </c>
      <c r="D7">
        <f>Calculations!E$34*Calculations!E$38*Calculations!H7</f>
        <v>1.7690127360451495</v>
      </c>
      <c r="E7">
        <f>Calculations!E$34*Calculations!E$37*Calculations!H7</f>
        <v>1.447374056764213</v>
      </c>
      <c r="F7">
        <f>Calculations!E$34*Calculations!E$36*Calculations!H7</f>
        <v>3.2163867928093621</v>
      </c>
      <c r="G7">
        <f>Calculations!E$34*Calculations!E$37*Calculations!H7</f>
        <v>1.447374056764213</v>
      </c>
      <c r="H7">
        <f>Calculations!E$34*Calculations!E$38*Calculations!H7</f>
        <v>1.7690127360451495</v>
      </c>
    </row>
    <row r="8" spans="1:8" x14ac:dyDescent="0.3">
      <c r="A8">
        <v>6</v>
      </c>
      <c r="B8">
        <v>1.7937541729129134</v>
      </c>
      <c r="C8">
        <f>Calculations!E$34*Calculations!E$36*Calculations!H8</f>
        <v>3.5875083458258268</v>
      </c>
      <c r="D8">
        <f>Calculations!E$34*Calculations!E$38*Calculations!H8</f>
        <v>1.973129590204205</v>
      </c>
      <c r="E8">
        <f>Calculations!E$34*Calculations!E$37*Calculations!H8</f>
        <v>1.614378755621622</v>
      </c>
      <c r="F8">
        <f>Calculations!E$34*Calculations!E$36*Calculations!H8</f>
        <v>3.5875083458258268</v>
      </c>
      <c r="G8">
        <f>Calculations!E$34*Calculations!E$37*Calculations!H8</f>
        <v>1.614378755621622</v>
      </c>
      <c r="H8">
        <f>Calculations!E$34*Calculations!E$38*Calculations!H8</f>
        <v>1.973129590204205</v>
      </c>
    </row>
    <row r="9" spans="1:8" x14ac:dyDescent="0.3">
      <c r="A9">
        <v>7</v>
      </c>
      <c r="B9">
        <v>2.907118831962308</v>
      </c>
      <c r="C9">
        <f>Calculations!E$34*Calculations!E$36*Calculations!H9</f>
        <v>5.8142376639246161</v>
      </c>
      <c r="D9">
        <f>Calculations!E$34*Calculations!E$38*Calculations!H9</f>
        <v>3.1978307151585392</v>
      </c>
      <c r="E9">
        <f>Calculations!E$34*Calculations!E$37*Calculations!H9</f>
        <v>2.6164069487660773</v>
      </c>
      <c r="F9">
        <f>Calculations!E$34*Calculations!E$36*Calculations!H9</f>
        <v>5.8142376639246161</v>
      </c>
      <c r="G9">
        <f>Calculations!E$34*Calculations!E$37*Calculations!H9</f>
        <v>2.6164069487660773</v>
      </c>
      <c r="H9">
        <f>Calculations!E$34*Calculations!E$38*Calculations!H9</f>
        <v>3.1978307151585392</v>
      </c>
    </row>
    <row r="10" spans="1:8" x14ac:dyDescent="0.3">
      <c r="A10">
        <v>8</v>
      </c>
      <c r="B10">
        <v>2.4741436867764328</v>
      </c>
      <c r="C10">
        <f>Calculations!E$34*Calculations!E$36*Calculations!H10</f>
        <v>4.9482873735528656</v>
      </c>
      <c r="D10">
        <f>Calculations!E$34*Calculations!E$38*Calculations!H10</f>
        <v>2.7215580554540764</v>
      </c>
      <c r="E10">
        <f>Calculations!E$34*Calculations!E$37*Calculations!H10</f>
        <v>2.2267293180987893</v>
      </c>
      <c r="F10">
        <f>Calculations!E$34*Calculations!E$36*Calculations!H10</f>
        <v>4.9482873735528656</v>
      </c>
      <c r="G10">
        <f>Calculations!E$34*Calculations!E$37*Calculations!H10</f>
        <v>2.2267293180987893</v>
      </c>
      <c r="H10">
        <f>Calculations!E$34*Calculations!E$38*Calculations!H10</f>
        <v>2.7215580554540764</v>
      </c>
    </row>
    <row r="11" spans="1:8" x14ac:dyDescent="0.3">
      <c r="A11">
        <v>9</v>
      </c>
      <c r="B11">
        <v>1.9174613572517352</v>
      </c>
      <c r="C11">
        <f>Calculations!E$34*Calculations!E$36*Calculations!H11</f>
        <v>3.8349227145034703</v>
      </c>
      <c r="D11">
        <f>Calculations!E$34*Calculations!E$38*Calculations!H11</f>
        <v>2.1092074929769091</v>
      </c>
      <c r="E11">
        <f>Calculations!E$34*Calculations!E$37*Calculations!H11</f>
        <v>1.7257152215265616</v>
      </c>
      <c r="F11">
        <f>Calculations!E$34*Calculations!E$36*Calculations!H11</f>
        <v>3.8349227145034703</v>
      </c>
      <c r="G11">
        <f>Calculations!E$34*Calculations!E$37*Calculations!H11</f>
        <v>1.7257152215265616</v>
      </c>
      <c r="H11">
        <f>Calculations!E$34*Calculations!E$38*Calculations!H11</f>
        <v>2.1092074929769091</v>
      </c>
    </row>
    <row r="12" spans="1:8" x14ac:dyDescent="0.3">
      <c r="A12">
        <v>10</v>
      </c>
      <c r="B12">
        <v>1.5463398042352703</v>
      </c>
      <c r="C12">
        <f>Calculations!E$34*Calculations!E$36*Calculations!H12</f>
        <v>3.0926796084705406</v>
      </c>
      <c r="D12">
        <f>Calculations!E$34*Calculations!E$38*Calculations!H12</f>
        <v>1.7009737846587976</v>
      </c>
      <c r="E12">
        <f>Calculations!E$34*Calculations!E$37*Calculations!H12</f>
        <v>1.3917058238117432</v>
      </c>
      <c r="F12">
        <f>Calculations!E$34*Calculations!E$36*Calculations!H12</f>
        <v>3.0926796084705406</v>
      </c>
      <c r="G12">
        <f>Calculations!E$34*Calculations!E$37*Calculations!H12</f>
        <v>1.3917058238117432</v>
      </c>
      <c r="H12">
        <f>Calculations!E$34*Calculations!E$38*Calculations!H12</f>
        <v>1.7009737846587976</v>
      </c>
    </row>
    <row r="13" spans="1:8" x14ac:dyDescent="0.3">
      <c r="A13">
        <v>11</v>
      </c>
      <c r="B13">
        <v>1.5463398042352703</v>
      </c>
      <c r="C13">
        <f>Calculations!E$34*Calculations!E$36*Calculations!H13</f>
        <v>3.0926796084705406</v>
      </c>
      <c r="D13">
        <f>Calculations!E$34*Calculations!E$38*Calculations!H13</f>
        <v>1.7009737846587976</v>
      </c>
      <c r="E13">
        <f>Calculations!E$34*Calculations!E$37*Calculations!H13</f>
        <v>1.3917058238117432</v>
      </c>
      <c r="F13">
        <f>Calculations!E$34*Calculations!E$36*Calculations!H13</f>
        <v>3.0926796084705406</v>
      </c>
      <c r="G13">
        <f>Calculations!E$34*Calculations!E$37*Calculations!H13</f>
        <v>1.3917058238117432</v>
      </c>
      <c r="H13">
        <f>Calculations!E$34*Calculations!E$38*Calculations!H13</f>
        <v>1.7009737846587976</v>
      </c>
    </row>
    <row r="14" spans="1:8" x14ac:dyDescent="0.3">
      <c r="A14">
        <v>12</v>
      </c>
      <c r="B14">
        <v>1.2061450473035109</v>
      </c>
      <c r="C14">
        <f>Calculations!E$34*Calculations!E$36*Calculations!H14</f>
        <v>2.4122900946070218</v>
      </c>
      <c r="D14">
        <f>Calculations!E$34*Calculations!E$38*Calculations!H14</f>
        <v>1.3267595520338622</v>
      </c>
      <c r="E14">
        <f>Calculations!E$34*Calculations!E$37*Calculations!H14</f>
        <v>1.0855305425731598</v>
      </c>
      <c r="F14">
        <f>Calculations!E$34*Calculations!E$36*Calculations!H14</f>
        <v>2.4122900946070218</v>
      </c>
      <c r="G14">
        <f>Calculations!E$34*Calculations!E$37*Calculations!H14</f>
        <v>1.0855305425731598</v>
      </c>
      <c r="H14">
        <f>Calculations!E$34*Calculations!E$38*Calculations!H14</f>
        <v>1.3267595520338622</v>
      </c>
    </row>
    <row r="15" spans="1:8" x14ac:dyDescent="0.3">
      <c r="A15">
        <v>13</v>
      </c>
      <c r="B15">
        <v>1.0824378629646891</v>
      </c>
      <c r="C15">
        <f>Calculations!E$34*Calculations!E$36*Calculations!H15</f>
        <v>2.1648757259293783</v>
      </c>
      <c r="D15">
        <f>Calculations!E$34*Calculations!E$38*Calculations!H15</f>
        <v>1.1906816492611583</v>
      </c>
      <c r="E15">
        <f>Calculations!E$34*Calculations!E$37*Calculations!H15</f>
        <v>0.97419407666822022</v>
      </c>
      <c r="F15">
        <f>Calculations!E$34*Calculations!E$36*Calculations!H15</f>
        <v>2.1648757259293783</v>
      </c>
      <c r="G15">
        <f>Calculations!E$34*Calculations!E$37*Calculations!H15</f>
        <v>0.97419407666822022</v>
      </c>
      <c r="H15">
        <f>Calculations!E$34*Calculations!E$38*Calculations!H15</f>
        <v>1.1906816492611583</v>
      </c>
    </row>
    <row r="16" spans="1:8" x14ac:dyDescent="0.3">
      <c r="A16">
        <v>14</v>
      </c>
      <c r="B16">
        <v>0.92780388254116208</v>
      </c>
      <c r="C16">
        <f>Calculations!E$34*Calculations!E$36*Calculations!H16</f>
        <v>1.8556077650823242</v>
      </c>
      <c r="D16">
        <f>Calculations!E$34*Calculations!E$38*Calculations!H16</f>
        <v>1.0205842707952786</v>
      </c>
      <c r="E16">
        <f>Calculations!E$34*Calculations!E$37*Calculations!H16</f>
        <v>0.83502349428704592</v>
      </c>
      <c r="F16">
        <f>Calculations!E$34*Calculations!E$36*Calculations!H16</f>
        <v>1.8556077650823242</v>
      </c>
      <c r="G16">
        <f>Calculations!E$34*Calculations!E$37*Calculations!H16</f>
        <v>0.83502349428704592</v>
      </c>
      <c r="H16">
        <f>Calculations!E$34*Calculations!E$38*Calculations!H16</f>
        <v>1.0205842707952786</v>
      </c>
    </row>
    <row r="17" spans="1:8" x14ac:dyDescent="0.3">
      <c r="A17">
        <v>15</v>
      </c>
      <c r="B17">
        <v>1.0824378629646891</v>
      </c>
      <c r="C17">
        <f>Calculations!E$34*Calculations!E$36*Calculations!H17</f>
        <v>2.1648757259293783</v>
      </c>
      <c r="D17">
        <f>Calculations!E$34*Calculations!E$38*Calculations!H17</f>
        <v>1.1906816492611583</v>
      </c>
      <c r="E17">
        <f>Calculations!E$34*Calculations!E$37*Calculations!H17</f>
        <v>0.97419407666822022</v>
      </c>
      <c r="F17">
        <f>Calculations!E$34*Calculations!E$36*Calculations!H17</f>
        <v>2.1648757259293783</v>
      </c>
      <c r="G17">
        <f>Calculations!E$34*Calculations!E$37*Calculations!H17</f>
        <v>0.97419407666822022</v>
      </c>
      <c r="H17">
        <f>Calculations!E$34*Calculations!E$38*Calculations!H17</f>
        <v>1.1906816492611583</v>
      </c>
    </row>
    <row r="18" spans="1:8" x14ac:dyDescent="0.3">
      <c r="A18">
        <v>16</v>
      </c>
      <c r="B18">
        <v>1.3917058238117432</v>
      </c>
      <c r="C18">
        <f>Calculations!E$34*Calculations!E$36*Calculations!H18</f>
        <v>2.7834116476234865</v>
      </c>
      <c r="D18">
        <f>Calculations!E$34*Calculations!E$38*Calculations!H18</f>
        <v>1.5308764061929179</v>
      </c>
      <c r="E18">
        <f>Calculations!E$34*Calculations!E$37*Calculations!H18</f>
        <v>1.252535241430569</v>
      </c>
      <c r="F18">
        <f>Calculations!E$34*Calculations!E$36*Calculations!H18</f>
        <v>2.7834116476234865</v>
      </c>
      <c r="G18">
        <f>Calculations!E$34*Calculations!E$37*Calculations!H18</f>
        <v>1.252535241430569</v>
      </c>
      <c r="H18">
        <f>Calculations!E$34*Calculations!E$38*Calculations!H18</f>
        <v>1.5308764061929179</v>
      </c>
    </row>
    <row r="19" spans="1:8" x14ac:dyDescent="0.3">
      <c r="A19">
        <v>17</v>
      </c>
      <c r="B19">
        <v>2.1648757259293783</v>
      </c>
      <c r="C19">
        <f>Calculations!E$34*Calculations!E$36*Calculations!H19</f>
        <v>4.3297514518587565</v>
      </c>
      <c r="D19">
        <f>Calculations!E$34*Calculations!E$38*Calculations!H19</f>
        <v>2.3813632985223165</v>
      </c>
      <c r="E19">
        <f>Calculations!E$34*Calculations!E$37*Calculations!H19</f>
        <v>1.9483881533364404</v>
      </c>
      <c r="F19">
        <f>Calculations!E$34*Calculations!E$36*Calculations!H19</f>
        <v>4.3297514518587565</v>
      </c>
      <c r="G19">
        <f>Calculations!E$34*Calculations!E$37*Calculations!H19</f>
        <v>1.9483881533364404</v>
      </c>
      <c r="H19">
        <f>Calculations!E$34*Calculations!E$38*Calculations!H19</f>
        <v>2.3813632985223165</v>
      </c>
    </row>
    <row r="20" spans="1:8" x14ac:dyDescent="0.3">
      <c r="A20">
        <v>18</v>
      </c>
      <c r="B20">
        <v>2.8452652397928975</v>
      </c>
      <c r="C20">
        <f>Calculations!E$34*Calculations!E$36*Calculations!H20</f>
        <v>5.6905304795857949</v>
      </c>
      <c r="D20">
        <f>Calculations!E$34*Calculations!E$38*Calculations!H20</f>
        <v>3.1297917637721877</v>
      </c>
      <c r="E20">
        <f>Calculations!E$34*Calculations!E$37*Calculations!H20</f>
        <v>2.5607387158136077</v>
      </c>
      <c r="F20">
        <f>Calculations!E$34*Calculations!E$36*Calculations!H20</f>
        <v>5.6905304795857949</v>
      </c>
      <c r="G20">
        <f>Calculations!E$34*Calculations!E$37*Calculations!H20</f>
        <v>2.5607387158136077</v>
      </c>
      <c r="H20">
        <f>Calculations!E$34*Calculations!E$38*Calculations!H20</f>
        <v>3.1297917637721877</v>
      </c>
    </row>
    <row r="21" spans="1:8" x14ac:dyDescent="0.3">
      <c r="A21">
        <v>19</v>
      </c>
      <c r="B21">
        <v>3.0926796084705406</v>
      </c>
      <c r="C21">
        <f>Calculations!E$34*Calculations!E$36*Calculations!H21</f>
        <v>6.1853592169410812</v>
      </c>
      <c r="D21">
        <f>Calculations!E$34*Calculations!E$38*Calculations!H21</f>
        <v>3.4019475693175951</v>
      </c>
      <c r="E21">
        <f>Calculations!E$34*Calculations!E$37*Calculations!H21</f>
        <v>2.7834116476234865</v>
      </c>
      <c r="F21">
        <f>Calculations!E$34*Calculations!E$36*Calculations!H21</f>
        <v>6.1853592169410812</v>
      </c>
      <c r="G21">
        <f>Calculations!E$34*Calculations!E$37*Calculations!H21</f>
        <v>2.7834116476234865</v>
      </c>
      <c r="H21">
        <f>Calculations!E$34*Calculations!E$38*Calculations!H21</f>
        <v>3.4019475693175951</v>
      </c>
    </row>
    <row r="22" spans="1:8" x14ac:dyDescent="0.3">
      <c r="A22">
        <v>20</v>
      </c>
      <c r="B22">
        <v>3.0926796084705406</v>
      </c>
      <c r="C22">
        <f>Calculations!E$34*Calculations!E$36*Calculations!H22</f>
        <v>6.1853592169410812</v>
      </c>
      <c r="D22">
        <f>Calculations!E$34*Calculations!E$38*Calculations!H22</f>
        <v>3.4019475693175951</v>
      </c>
      <c r="E22">
        <f>Calculations!E$34*Calculations!E$37*Calculations!H22</f>
        <v>2.7834116476234865</v>
      </c>
      <c r="F22">
        <f>Calculations!E$34*Calculations!E$36*Calculations!H22</f>
        <v>6.1853592169410812</v>
      </c>
      <c r="G22">
        <f>Calculations!E$34*Calculations!E$37*Calculations!H22</f>
        <v>2.7834116476234865</v>
      </c>
      <c r="H22">
        <f>Calculations!E$34*Calculations!E$38*Calculations!H22</f>
        <v>3.4019475693175951</v>
      </c>
    </row>
    <row r="23" spans="1:8" x14ac:dyDescent="0.3">
      <c r="A23">
        <v>21</v>
      </c>
      <c r="B23">
        <v>3.0926796084705406</v>
      </c>
      <c r="C23">
        <f>Calculations!E$34*Calculations!E$36*Calculations!H23</f>
        <v>6.1853592169410812</v>
      </c>
      <c r="D23">
        <f>Calculations!E$34*Calculations!E$38*Calculations!H23</f>
        <v>3.4019475693175951</v>
      </c>
      <c r="E23">
        <f>Calculations!E$34*Calculations!E$37*Calculations!H23</f>
        <v>2.7834116476234865</v>
      </c>
      <c r="F23">
        <f>Calculations!E$34*Calculations!E$36*Calculations!H23</f>
        <v>6.1853592169410812</v>
      </c>
      <c r="G23">
        <f>Calculations!E$34*Calculations!E$37*Calculations!H23</f>
        <v>2.7834116476234865</v>
      </c>
      <c r="H23">
        <f>Calculations!E$34*Calculations!E$38*Calculations!H23</f>
        <v>3.4019475693175951</v>
      </c>
    </row>
    <row r="24" spans="1:8" x14ac:dyDescent="0.3">
      <c r="A24">
        <v>22</v>
      </c>
      <c r="B24">
        <v>2.6906312593693702</v>
      </c>
      <c r="C24">
        <f>Calculations!E$34*Calculations!E$36*Calculations!H24</f>
        <v>5.3812625187387404</v>
      </c>
      <c r="D24">
        <f>Calculations!E$34*Calculations!E$38*Calculations!H24</f>
        <v>2.9596943853063076</v>
      </c>
      <c r="E24">
        <f>Calculations!E$34*Calculations!E$37*Calculations!H24</f>
        <v>2.4215681334324333</v>
      </c>
      <c r="F24">
        <f>Calculations!E$34*Calculations!E$36*Calculations!H24</f>
        <v>5.3812625187387404</v>
      </c>
      <c r="G24">
        <f>Calculations!E$34*Calculations!E$37*Calculations!H24</f>
        <v>2.4215681334324333</v>
      </c>
      <c r="H24">
        <f>Calculations!E$34*Calculations!E$38*Calculations!H24</f>
        <v>2.9596943853063076</v>
      </c>
    </row>
    <row r="25" spans="1:8" x14ac:dyDescent="0.3">
      <c r="A25">
        <v>23</v>
      </c>
      <c r="B25">
        <v>1.9174613572517352</v>
      </c>
      <c r="C25">
        <f>Calculations!E$34*Calculations!E$36*Calculations!H25</f>
        <v>3.8349227145034703</v>
      </c>
      <c r="D25">
        <f>Calculations!E$34*Calculations!E$38*Calculations!H25</f>
        <v>2.1092074929769091</v>
      </c>
      <c r="E25">
        <f>Calculations!E$34*Calculations!E$37*Calculations!H25</f>
        <v>1.7257152215265616</v>
      </c>
      <c r="F25">
        <f>Calculations!E$34*Calculations!E$36*Calculations!H25</f>
        <v>3.8349227145034703</v>
      </c>
      <c r="G25">
        <f>Calculations!E$34*Calculations!E$37*Calculations!H25</f>
        <v>1.7257152215265616</v>
      </c>
      <c r="H25">
        <f>Calculations!E$34*Calculations!E$38*Calculations!H25</f>
        <v>2.1092074929769091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011B-A8EE-4D24-8988-17DE632333D4}">
  <dimension ref="A1:H25"/>
  <sheetViews>
    <sheetView workbookViewId="0">
      <selection activeCell="C2" sqref="C2"/>
    </sheetView>
  </sheetViews>
  <sheetFormatPr defaultRowHeight="14.4" x14ac:dyDescent="0.3"/>
  <sheetData>
    <row r="1" spans="1:8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</row>
    <row r="2" spans="1:8" x14ac:dyDescent="0.3">
      <c r="A2">
        <v>0</v>
      </c>
      <c r="B2" cm="1">
        <f t="array" ref="B2:B25">Calculations!E$35*Calculations!I2:I25</f>
        <v>1.9527037421747744</v>
      </c>
      <c r="C2">
        <f>Calculations!E$35*Calculations!I2</f>
        <v>1.9527037421747744</v>
      </c>
      <c r="D2">
        <f>Calculations!E$35*Calculations!E$38*Calculations!I2</f>
        <v>2.1479741163922519</v>
      </c>
      <c r="E2">
        <f>Calculations!E$35*Calculations!E$37*Calculations!I2</f>
        <v>1.7574333679572969</v>
      </c>
      <c r="F2">
        <f>Calculations!E$35*Calculations!I2</f>
        <v>1.9527037421747744</v>
      </c>
      <c r="G2">
        <f>Calculations!E$35*Calculations!E$37*Calculations!I2</f>
        <v>1.7574333679572969</v>
      </c>
      <c r="H2">
        <f>Calculations!E$35*Calculations!E$38*Calculations!I2</f>
        <v>2.1479741163922519</v>
      </c>
    </row>
    <row r="3" spans="1:8" x14ac:dyDescent="0.3">
      <c r="A3">
        <v>1</v>
      </c>
      <c r="B3">
        <v>1.7416006349126369</v>
      </c>
      <c r="C3">
        <f>Calculations!E$35*Calculations!I3</f>
        <v>1.7416006349126369</v>
      </c>
      <c r="D3">
        <f>Calculations!E$35*Calculations!E$38*Calculations!I3</f>
        <v>1.9157606984039006</v>
      </c>
      <c r="E3">
        <f>Calculations!E$35*Calculations!E$37*Calculations!I3</f>
        <v>1.5674405714213731</v>
      </c>
      <c r="F3">
        <f>Calculations!E$35*Calculations!I3</f>
        <v>1.7416006349126369</v>
      </c>
      <c r="G3">
        <f>Calculations!E$35*Calculations!E$37*Calculations!I3</f>
        <v>1.5674405714213731</v>
      </c>
      <c r="H3">
        <f>Calculations!E$35*Calculations!E$38*Calculations!I3</f>
        <v>1.9157606984039006</v>
      </c>
    </row>
    <row r="4" spans="1:8" x14ac:dyDescent="0.3">
      <c r="A4">
        <v>2</v>
      </c>
      <c r="B4">
        <v>1.5304975276504991</v>
      </c>
      <c r="C4">
        <f>Calculations!E$35*Calculations!I4</f>
        <v>1.5304975276504991</v>
      </c>
      <c r="D4">
        <f>Calculations!E$35*Calculations!E$38*Calculations!I4</f>
        <v>1.6835472804155489</v>
      </c>
      <c r="E4">
        <f>Calculations!E$35*Calculations!E$37*Calculations!I4</f>
        <v>1.377447774885449</v>
      </c>
      <c r="F4">
        <f>Calculations!E$35*Calculations!I4</f>
        <v>1.5304975276504991</v>
      </c>
      <c r="G4">
        <f>Calculations!E$35*Calculations!E$37*Calculations!I4</f>
        <v>1.377447774885449</v>
      </c>
      <c r="H4">
        <f>Calculations!E$35*Calculations!E$38*Calculations!I4</f>
        <v>1.6835472804155489</v>
      </c>
    </row>
    <row r="5" spans="1:8" x14ac:dyDescent="0.3">
      <c r="A5">
        <v>3</v>
      </c>
      <c r="B5">
        <v>1.4513338624271974</v>
      </c>
      <c r="C5">
        <f>Calculations!E$35*Calculations!I5</f>
        <v>1.4513338624271974</v>
      </c>
      <c r="D5">
        <f>Calculations!E$35*Calculations!E$38*Calculations!I5</f>
        <v>1.5964672486699172</v>
      </c>
      <c r="E5">
        <f>Calculations!E$35*Calculations!E$37*Calculations!I5</f>
        <v>1.3062004761844777</v>
      </c>
      <c r="F5">
        <f>Calculations!E$35*Calculations!I5</f>
        <v>1.4513338624271974</v>
      </c>
      <c r="G5">
        <f>Calculations!E$35*Calculations!E$37*Calculations!I5</f>
        <v>1.3062004761844777</v>
      </c>
      <c r="H5">
        <f>Calculations!E$35*Calculations!E$38*Calculations!I5</f>
        <v>1.5964672486699172</v>
      </c>
    </row>
    <row r="6" spans="1:8" x14ac:dyDescent="0.3">
      <c r="A6">
        <v>4</v>
      </c>
      <c r="B6">
        <v>1.8471521885437054</v>
      </c>
      <c r="C6">
        <f>Calculations!E$35*Calculations!I6</f>
        <v>1.8471521885437054</v>
      </c>
      <c r="D6">
        <f>Calculations!E$35*Calculations!E$38*Calculations!I6</f>
        <v>2.0318674073980758</v>
      </c>
      <c r="E6">
        <f>Calculations!E$35*Calculations!E$37*Calculations!I6</f>
        <v>1.6624369696893349</v>
      </c>
      <c r="F6">
        <f>Calculations!E$35*Calculations!I6</f>
        <v>1.8471521885437054</v>
      </c>
      <c r="G6">
        <f>Calculations!E$35*Calculations!E$37*Calculations!I6</f>
        <v>1.6624369696893349</v>
      </c>
      <c r="H6">
        <f>Calculations!E$35*Calculations!E$38*Calculations!I6</f>
        <v>2.0318674073980758</v>
      </c>
    </row>
    <row r="7" spans="1:8" x14ac:dyDescent="0.3">
      <c r="A7">
        <v>5</v>
      </c>
      <c r="B7">
        <v>2.2429705146602137</v>
      </c>
      <c r="C7">
        <f>Calculations!E$35*Calculations!I7</f>
        <v>2.2429705146602137</v>
      </c>
      <c r="D7">
        <f>Calculations!E$35*Calculations!E$38*Calculations!I7</f>
        <v>2.4672675661262353</v>
      </c>
      <c r="E7">
        <f>Calculations!E$35*Calculations!E$37*Calculations!I7</f>
        <v>2.0186734631941925</v>
      </c>
      <c r="F7">
        <f>Calculations!E$35*Calculations!I7</f>
        <v>2.2429705146602137</v>
      </c>
      <c r="G7">
        <f>Calculations!E$35*Calculations!E$37*Calculations!I7</f>
        <v>2.0186734631941925</v>
      </c>
      <c r="H7">
        <f>Calculations!E$35*Calculations!E$38*Calculations!I7</f>
        <v>2.4672675661262353</v>
      </c>
    </row>
    <row r="8" spans="1:8" x14ac:dyDescent="0.3">
      <c r="A8">
        <v>6</v>
      </c>
      <c r="B8">
        <v>3.1665466089320669</v>
      </c>
      <c r="C8">
        <f>Calculations!E$35*Calculations!I8</f>
        <v>3.1665466089320669</v>
      </c>
      <c r="D8">
        <f>Calculations!E$35*Calculations!E$38*Calculations!I8</f>
        <v>3.4832012698252734</v>
      </c>
      <c r="E8">
        <f>Calculations!E$35*Calculations!E$37*Calculations!I8</f>
        <v>2.8498919480388603</v>
      </c>
      <c r="F8">
        <f>Calculations!E$35*Calculations!I8</f>
        <v>3.1665466089320669</v>
      </c>
      <c r="G8">
        <f>Calculations!E$35*Calculations!E$37*Calculations!I8</f>
        <v>2.8498919480388603</v>
      </c>
      <c r="H8">
        <f>Calculations!E$35*Calculations!E$38*Calculations!I8</f>
        <v>3.4832012698252734</v>
      </c>
    </row>
    <row r="9" spans="1:8" x14ac:dyDescent="0.3">
      <c r="A9">
        <v>7</v>
      </c>
      <c r="B9">
        <v>4.8817593554369365</v>
      </c>
      <c r="C9">
        <f>Calculations!E$35*Calculations!I9</f>
        <v>4.8817593554369365</v>
      </c>
      <c r="D9">
        <f>Calculations!E$35*Calculations!E$38*Calculations!I9</f>
        <v>5.3699352909806297</v>
      </c>
      <c r="E9">
        <f>Calculations!E$35*Calculations!E$37*Calculations!I9</f>
        <v>4.3935834198932424</v>
      </c>
      <c r="F9">
        <f>Calculations!E$35*Calculations!I9</f>
        <v>4.8817593554369365</v>
      </c>
      <c r="G9">
        <f>Calculations!E$35*Calculations!E$37*Calculations!I9</f>
        <v>4.3935834198932424</v>
      </c>
      <c r="H9">
        <f>Calculations!E$35*Calculations!E$38*Calculations!I9</f>
        <v>5.3699352909806297</v>
      </c>
    </row>
    <row r="10" spans="1:8" x14ac:dyDescent="0.3">
      <c r="A10">
        <v>8</v>
      </c>
      <c r="B10">
        <v>3.9581832611650838</v>
      </c>
      <c r="C10">
        <f>Calculations!E$35*Calculations!I10</f>
        <v>3.9581832611650838</v>
      </c>
      <c r="D10">
        <f>Calculations!E$35*Calculations!E$38*Calculations!I10</f>
        <v>4.3540015872815916</v>
      </c>
      <c r="E10">
        <f>Calculations!E$35*Calculations!E$37*Calculations!I10</f>
        <v>3.5623649350485751</v>
      </c>
      <c r="F10">
        <f>Calculations!E$35*Calculations!I10</f>
        <v>3.9581832611650838</v>
      </c>
      <c r="G10">
        <f>Calculations!E$35*Calculations!E$37*Calculations!I10</f>
        <v>3.5623649350485751</v>
      </c>
      <c r="H10">
        <f>Calculations!E$35*Calculations!E$38*Calculations!I10</f>
        <v>4.3540015872815916</v>
      </c>
    </row>
    <row r="11" spans="1:8" x14ac:dyDescent="0.3">
      <c r="A11">
        <v>9</v>
      </c>
      <c r="B11">
        <v>2.8498919480388603</v>
      </c>
      <c r="C11">
        <f>Calculations!E$35*Calculations!I11</f>
        <v>2.8498919480388603</v>
      </c>
      <c r="D11">
        <f>Calculations!E$35*Calculations!E$38*Calculations!I11</f>
        <v>3.1348811428427465</v>
      </c>
      <c r="E11">
        <f>Calculations!E$35*Calculations!E$37*Calculations!I11</f>
        <v>2.5649027532349744</v>
      </c>
      <c r="F11">
        <f>Calculations!E$35*Calculations!I11</f>
        <v>2.8498919480388603</v>
      </c>
      <c r="G11">
        <f>Calculations!E$35*Calculations!E$37*Calculations!I11</f>
        <v>2.5649027532349744</v>
      </c>
      <c r="H11">
        <f>Calculations!E$35*Calculations!E$38*Calculations!I11</f>
        <v>3.1348811428427465</v>
      </c>
    </row>
    <row r="12" spans="1:8" x14ac:dyDescent="0.3">
      <c r="A12">
        <v>10</v>
      </c>
      <c r="B12">
        <v>2.3749099566990504</v>
      </c>
      <c r="C12">
        <f>Calculations!E$35*Calculations!I12</f>
        <v>2.3749099566990504</v>
      </c>
      <c r="D12">
        <f>Calculations!E$35*Calculations!E$38*Calculations!I12</f>
        <v>2.6124009523689553</v>
      </c>
      <c r="E12">
        <f>Calculations!E$35*Calculations!E$37*Calculations!I12</f>
        <v>2.137418961029145</v>
      </c>
      <c r="F12">
        <f>Calculations!E$35*Calculations!I12</f>
        <v>2.3749099566990504</v>
      </c>
      <c r="G12">
        <f>Calculations!E$35*Calculations!E$37*Calculations!I12</f>
        <v>2.137418961029145</v>
      </c>
      <c r="H12">
        <f>Calculations!E$35*Calculations!E$38*Calculations!I12</f>
        <v>2.6124009523689553</v>
      </c>
    </row>
    <row r="13" spans="1:8" x14ac:dyDescent="0.3">
      <c r="A13">
        <v>11</v>
      </c>
      <c r="B13">
        <v>2.2957462914757487</v>
      </c>
      <c r="C13">
        <f>Calculations!E$35*Calculations!I13</f>
        <v>2.2957462914757487</v>
      </c>
      <c r="D13">
        <f>Calculations!E$35*Calculations!E$38*Calculations!I13</f>
        <v>2.5253209206233236</v>
      </c>
      <c r="E13">
        <f>Calculations!E$35*Calculations!E$37*Calculations!I13</f>
        <v>2.0661716623281738</v>
      </c>
      <c r="F13">
        <f>Calculations!E$35*Calculations!I13</f>
        <v>2.2957462914757487</v>
      </c>
      <c r="G13">
        <f>Calculations!E$35*Calculations!E$37*Calculations!I13</f>
        <v>2.0661716623281738</v>
      </c>
      <c r="H13">
        <f>Calculations!E$35*Calculations!E$38*Calculations!I13</f>
        <v>2.5253209206233236</v>
      </c>
    </row>
    <row r="14" spans="1:8" x14ac:dyDescent="0.3">
      <c r="A14">
        <v>12</v>
      </c>
      <c r="B14">
        <v>2.1638068494369125</v>
      </c>
      <c r="C14">
        <f>Calculations!E$35*Calculations!I14</f>
        <v>2.1638068494369125</v>
      </c>
      <c r="D14">
        <f>Calculations!E$35*Calculations!E$38*Calculations!I14</f>
        <v>2.3801875343806036</v>
      </c>
      <c r="E14">
        <f>Calculations!E$35*Calculations!E$37*Calculations!I14</f>
        <v>1.9474261644932209</v>
      </c>
      <c r="F14">
        <f>Calculations!E$35*Calculations!I14</f>
        <v>2.1638068494369125</v>
      </c>
      <c r="G14">
        <f>Calculations!E$35*Calculations!E$37*Calculations!I14</f>
        <v>1.9474261644932209</v>
      </c>
      <c r="H14">
        <f>Calculations!E$35*Calculations!E$38*Calculations!I14</f>
        <v>2.3801875343806036</v>
      </c>
    </row>
    <row r="15" spans="1:8" x14ac:dyDescent="0.3">
      <c r="A15">
        <v>13</v>
      </c>
      <c r="B15">
        <v>2.0054795189903087</v>
      </c>
      <c r="C15">
        <f>Calculations!E$35*Calculations!I15</f>
        <v>2.0054795189903087</v>
      </c>
      <c r="D15">
        <f>Calculations!E$35*Calculations!E$38*Calculations!I15</f>
        <v>2.2060274708893397</v>
      </c>
      <c r="E15">
        <f>Calculations!E$35*Calculations!E$37*Calculations!I15</f>
        <v>1.804931567091278</v>
      </c>
      <c r="F15">
        <f>Calculations!E$35*Calculations!I15</f>
        <v>2.0054795189903087</v>
      </c>
      <c r="G15">
        <f>Calculations!E$35*Calculations!E$37*Calculations!I15</f>
        <v>1.804931567091278</v>
      </c>
      <c r="H15">
        <f>Calculations!E$35*Calculations!E$38*Calculations!I15</f>
        <v>2.2060274708893397</v>
      </c>
    </row>
    <row r="16" spans="1:8" x14ac:dyDescent="0.3">
      <c r="A16">
        <v>14</v>
      </c>
      <c r="B16">
        <v>1.9527037421747744</v>
      </c>
      <c r="C16">
        <f>Calculations!E$35*Calculations!I16</f>
        <v>1.9527037421747744</v>
      </c>
      <c r="D16">
        <f>Calculations!E$35*Calculations!E$38*Calculations!I16</f>
        <v>2.1479741163922519</v>
      </c>
      <c r="E16">
        <f>Calculations!E$35*Calculations!E$37*Calculations!I16</f>
        <v>1.7574333679572969</v>
      </c>
      <c r="F16">
        <f>Calculations!E$35*Calculations!I16</f>
        <v>1.9527037421747744</v>
      </c>
      <c r="G16">
        <f>Calculations!E$35*Calculations!E$37*Calculations!I16</f>
        <v>1.7574333679572969</v>
      </c>
      <c r="H16">
        <f>Calculations!E$35*Calculations!E$38*Calculations!I16</f>
        <v>2.1479741163922519</v>
      </c>
    </row>
    <row r="17" spans="1:8" x14ac:dyDescent="0.3">
      <c r="A17">
        <v>15</v>
      </c>
      <c r="B17">
        <v>2.0054795189903087</v>
      </c>
      <c r="C17">
        <f>Calculations!E$35*Calculations!I17</f>
        <v>2.0054795189903087</v>
      </c>
      <c r="D17">
        <f>Calculations!E$35*Calculations!E$38*Calculations!I17</f>
        <v>2.2060274708893397</v>
      </c>
      <c r="E17">
        <f>Calculations!E$35*Calculations!E$37*Calculations!I17</f>
        <v>1.804931567091278</v>
      </c>
      <c r="F17">
        <f>Calculations!E$35*Calculations!I17</f>
        <v>2.0054795189903087</v>
      </c>
      <c r="G17">
        <f>Calculations!E$35*Calculations!E$37*Calculations!I17</f>
        <v>1.804931567091278</v>
      </c>
      <c r="H17">
        <f>Calculations!E$35*Calculations!E$38*Calculations!I17</f>
        <v>2.2060274708893397</v>
      </c>
    </row>
    <row r="18" spans="1:8" x14ac:dyDescent="0.3">
      <c r="A18">
        <v>16</v>
      </c>
      <c r="B18">
        <v>2.9554435016699294</v>
      </c>
      <c r="C18">
        <f>Calculations!E$35*Calculations!I18</f>
        <v>2.9554435016699294</v>
      </c>
      <c r="D18">
        <f>Calculations!E$35*Calculations!E$38*Calculations!I18</f>
        <v>3.2509878518369226</v>
      </c>
      <c r="E18">
        <f>Calculations!E$35*Calculations!E$37*Calculations!I18</f>
        <v>2.6598991515029367</v>
      </c>
      <c r="F18">
        <f>Calculations!E$35*Calculations!I18</f>
        <v>2.9554435016699294</v>
      </c>
      <c r="G18">
        <f>Calculations!E$35*Calculations!E$37*Calculations!I18</f>
        <v>2.6598991515029367</v>
      </c>
      <c r="H18">
        <f>Calculations!E$35*Calculations!E$38*Calculations!I18</f>
        <v>3.2509878518369226</v>
      </c>
    </row>
    <row r="19" spans="1:8" x14ac:dyDescent="0.3">
      <c r="A19">
        <v>17</v>
      </c>
      <c r="B19">
        <v>4.7498199133981007</v>
      </c>
      <c r="C19">
        <f>Calculations!E$35*Calculations!I19</f>
        <v>4.7498199133981007</v>
      </c>
      <c r="D19">
        <f>Calculations!E$35*Calculations!E$38*Calculations!I19</f>
        <v>5.2248019047379106</v>
      </c>
      <c r="E19">
        <f>Calculations!E$35*Calculations!E$37*Calculations!I19</f>
        <v>4.2748379220582899</v>
      </c>
      <c r="F19">
        <f>Calculations!E$35*Calculations!I19</f>
        <v>4.7498199133981007</v>
      </c>
      <c r="G19">
        <f>Calculations!E$35*Calculations!E$37*Calculations!I19</f>
        <v>4.2748379220582899</v>
      </c>
      <c r="H19">
        <f>Calculations!E$35*Calculations!E$38*Calculations!I19</f>
        <v>5.2248019047379106</v>
      </c>
    </row>
    <row r="20" spans="1:8" x14ac:dyDescent="0.3">
      <c r="A20">
        <v>18</v>
      </c>
      <c r="B20">
        <v>5.8053354497087897</v>
      </c>
      <c r="C20">
        <f>Calculations!E$35*Calculations!I20</f>
        <v>5.8053354497087897</v>
      </c>
      <c r="D20">
        <f>Calculations!E$35*Calculations!E$38*Calculations!I20</f>
        <v>6.3858689946796687</v>
      </c>
      <c r="E20">
        <f>Calculations!E$35*Calculations!E$37*Calculations!I20</f>
        <v>5.2248019047379106</v>
      </c>
      <c r="F20">
        <f>Calculations!E$35*Calculations!I20</f>
        <v>5.8053354497087897</v>
      </c>
      <c r="G20">
        <f>Calculations!E$35*Calculations!E$37*Calculations!I20</f>
        <v>5.2248019047379106</v>
      </c>
      <c r="H20">
        <f>Calculations!E$35*Calculations!E$38*Calculations!I20</f>
        <v>6.3858689946796687</v>
      </c>
    </row>
    <row r="21" spans="1:8" x14ac:dyDescent="0.3">
      <c r="A21">
        <v>19</v>
      </c>
      <c r="B21">
        <v>5.5414565656311172</v>
      </c>
      <c r="C21">
        <f>Calculations!E$35*Calculations!I21</f>
        <v>5.5414565656311172</v>
      </c>
      <c r="D21">
        <f>Calculations!E$35*Calculations!E$38*Calculations!I21</f>
        <v>6.0956022221942288</v>
      </c>
      <c r="E21">
        <f>Calculations!E$35*Calculations!E$37*Calculations!I21</f>
        <v>4.9873109090680048</v>
      </c>
      <c r="F21">
        <f>Calculations!E$35*Calculations!I21</f>
        <v>5.5414565656311172</v>
      </c>
      <c r="G21">
        <f>Calculations!E$35*Calculations!E$37*Calculations!I21</f>
        <v>4.9873109090680048</v>
      </c>
      <c r="H21">
        <f>Calculations!E$35*Calculations!E$38*Calculations!I21</f>
        <v>6.0956022221942288</v>
      </c>
    </row>
    <row r="22" spans="1:8" x14ac:dyDescent="0.3">
      <c r="A22">
        <v>20</v>
      </c>
      <c r="B22">
        <v>5.1456382395146081</v>
      </c>
      <c r="C22">
        <f>Calculations!E$35*Calculations!I22</f>
        <v>5.1456382395146081</v>
      </c>
      <c r="D22">
        <f>Calculations!E$35*Calculations!E$38*Calculations!I22</f>
        <v>5.6602020634660688</v>
      </c>
      <c r="E22">
        <f>Calculations!E$35*Calculations!E$37*Calculations!I22</f>
        <v>4.6310744155631474</v>
      </c>
      <c r="F22">
        <f>Calculations!E$35*Calculations!I22</f>
        <v>5.1456382395146081</v>
      </c>
      <c r="G22">
        <f>Calculations!E$35*Calculations!E$37*Calculations!I22</f>
        <v>4.6310744155631474</v>
      </c>
      <c r="H22">
        <f>Calculations!E$35*Calculations!E$38*Calculations!I22</f>
        <v>5.6602020634660688</v>
      </c>
    </row>
    <row r="23" spans="1:8" x14ac:dyDescent="0.3">
      <c r="A23">
        <v>21</v>
      </c>
      <c r="B23">
        <v>4.617880471359264</v>
      </c>
      <c r="C23">
        <f>Calculations!E$35*Calculations!I23</f>
        <v>4.617880471359264</v>
      </c>
      <c r="D23">
        <f>Calculations!E$35*Calculations!E$38*Calculations!I23</f>
        <v>5.0796685184951906</v>
      </c>
      <c r="E23">
        <f>Calculations!E$35*Calculations!E$37*Calculations!I23</f>
        <v>4.1560924242233375</v>
      </c>
      <c r="F23">
        <f>Calculations!E$35*Calculations!I23</f>
        <v>4.617880471359264</v>
      </c>
      <c r="G23">
        <f>Calculations!E$35*Calculations!E$37*Calculations!I23</f>
        <v>4.1560924242233375</v>
      </c>
      <c r="H23">
        <f>Calculations!E$35*Calculations!E$38*Calculations!I23</f>
        <v>5.0796685184951906</v>
      </c>
    </row>
    <row r="24" spans="1:8" x14ac:dyDescent="0.3">
      <c r="A24">
        <v>22</v>
      </c>
      <c r="B24">
        <v>3.4304254930097389</v>
      </c>
      <c r="C24">
        <f>Calculations!E$35*Calculations!I24</f>
        <v>3.4304254930097389</v>
      </c>
      <c r="D24">
        <f>Calculations!E$35*Calculations!E$38*Calculations!I24</f>
        <v>3.773468042310713</v>
      </c>
      <c r="E24">
        <f>Calculations!E$35*Calculations!E$37*Calculations!I24</f>
        <v>3.0873829437087648</v>
      </c>
      <c r="F24">
        <f>Calculations!E$35*Calculations!I24</f>
        <v>3.4304254930097389</v>
      </c>
      <c r="G24">
        <f>Calculations!E$35*Calculations!E$37*Calculations!I24</f>
        <v>3.0873829437087648</v>
      </c>
      <c r="H24">
        <f>Calculations!E$35*Calculations!E$38*Calculations!I24</f>
        <v>3.773468042310713</v>
      </c>
    </row>
    <row r="25" spans="1:8" x14ac:dyDescent="0.3">
      <c r="A25">
        <v>23</v>
      </c>
      <c r="B25">
        <v>2.2957462914757487</v>
      </c>
      <c r="C25">
        <f>Calculations!E$35*Calculations!I25</f>
        <v>2.2957462914757487</v>
      </c>
      <c r="D25">
        <f>Calculations!E$35*Calculations!E$38*Calculations!I25</f>
        <v>2.5253209206233236</v>
      </c>
      <c r="E25">
        <f>Calculations!E$35*Calculations!E$37*Calculations!I25</f>
        <v>2.0661716623281738</v>
      </c>
      <c r="F25">
        <f>Calculations!E$35*Calculations!I25</f>
        <v>2.2957462914757487</v>
      </c>
      <c r="G25">
        <f>Calculations!E$35*Calculations!E$37*Calculations!I25</f>
        <v>2.0661716623281738</v>
      </c>
      <c r="H25">
        <f>Calculations!E$35*Calculations!E$38*Calculations!I25</f>
        <v>2.5253209206233236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A64B0-F215-4B57-91B0-DBF9E9A2F6B5}">
  <dimension ref="A1:H25"/>
  <sheetViews>
    <sheetView workbookViewId="0">
      <selection activeCell="Y14" sqref="Y14"/>
    </sheetView>
  </sheetViews>
  <sheetFormatPr defaultRowHeight="14.4" x14ac:dyDescent="0.3"/>
  <sheetData>
    <row r="1" spans="1:8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</row>
    <row r="2" spans="1:8" x14ac:dyDescent="0.3">
      <c r="A2">
        <v>0</v>
      </c>
      <c r="B2" cm="1">
        <f t="array" ref="B2:B25">Calculations!E$35*Calculations!I2:I25</f>
        <v>1.9527037421747744</v>
      </c>
      <c r="C2">
        <f>Calculations!E$35*Calculations!I2*Calculations!E$36</f>
        <v>3.9054074843495488</v>
      </c>
      <c r="D2">
        <f>Calculations!E$35*Calculations!E$38*Calculations!I2</f>
        <v>2.1479741163922519</v>
      </c>
      <c r="E2">
        <f>Calculations!E$35*Calculations!E$37*Calculations!I2</f>
        <v>1.7574333679572969</v>
      </c>
      <c r="F2">
        <f>Calculations!E$35*Calculations!I2*Calculations!E$36</f>
        <v>3.9054074843495488</v>
      </c>
      <c r="G2">
        <f>Calculations!E$35*Calculations!E$37*Calculations!I2</f>
        <v>1.7574333679572969</v>
      </c>
      <c r="H2">
        <f>Calculations!E$35*Calculations!E$38*Calculations!I2</f>
        <v>2.1479741163922519</v>
      </c>
    </row>
    <row r="3" spans="1:8" x14ac:dyDescent="0.3">
      <c r="A3">
        <v>1</v>
      </c>
      <c r="B3">
        <v>1.7416006349126369</v>
      </c>
      <c r="C3">
        <f>Calculations!E$35*Calculations!I3*Calculations!E$36</f>
        <v>3.4832012698252739</v>
      </c>
      <c r="D3">
        <f>Calculations!E$35*Calculations!E$38*Calculations!I3</f>
        <v>1.9157606984039006</v>
      </c>
      <c r="E3">
        <f>Calculations!E$35*Calculations!E$37*Calculations!I3</f>
        <v>1.5674405714213731</v>
      </c>
      <c r="F3">
        <f>Calculations!E$35*Calculations!I3*Calculations!E$36</f>
        <v>3.4832012698252739</v>
      </c>
      <c r="G3">
        <f>Calculations!E$35*Calculations!E$37*Calculations!I3</f>
        <v>1.5674405714213731</v>
      </c>
      <c r="H3">
        <f>Calculations!E$35*Calculations!E$38*Calculations!I3</f>
        <v>1.9157606984039006</v>
      </c>
    </row>
    <row r="4" spans="1:8" x14ac:dyDescent="0.3">
      <c r="A4">
        <v>2</v>
      </c>
      <c r="B4">
        <v>1.5304975276504991</v>
      </c>
      <c r="C4">
        <f>Calculations!E$35*Calculations!I4*Calculations!E$36</f>
        <v>3.0609950553009981</v>
      </c>
      <c r="D4">
        <f>Calculations!E$35*Calculations!E$38*Calculations!I4</f>
        <v>1.6835472804155489</v>
      </c>
      <c r="E4">
        <f>Calculations!E$35*Calculations!E$37*Calculations!I4</f>
        <v>1.377447774885449</v>
      </c>
      <c r="F4">
        <f>Calculations!E$35*Calculations!I4*Calculations!E$36</f>
        <v>3.0609950553009981</v>
      </c>
      <c r="G4">
        <f>Calculations!E$35*Calculations!E$37*Calculations!I4</f>
        <v>1.377447774885449</v>
      </c>
      <c r="H4">
        <f>Calculations!E$35*Calculations!E$38*Calculations!I4</f>
        <v>1.6835472804155489</v>
      </c>
    </row>
    <row r="5" spans="1:8" x14ac:dyDescent="0.3">
      <c r="A5">
        <v>3</v>
      </c>
      <c r="B5">
        <v>1.4513338624271974</v>
      </c>
      <c r="C5">
        <f>Calculations!E$35*Calculations!I5*Calculations!E$36</f>
        <v>2.9026677248543948</v>
      </c>
      <c r="D5">
        <f>Calculations!E$35*Calculations!E$38*Calculations!I5</f>
        <v>1.5964672486699172</v>
      </c>
      <c r="E5">
        <f>Calculations!E$35*Calculations!E$37*Calculations!I5</f>
        <v>1.3062004761844777</v>
      </c>
      <c r="F5">
        <f>Calculations!E$35*Calculations!I5*Calculations!E$36</f>
        <v>2.9026677248543948</v>
      </c>
      <c r="G5">
        <f>Calculations!E$35*Calculations!E$37*Calculations!I5</f>
        <v>1.3062004761844777</v>
      </c>
      <c r="H5">
        <f>Calculations!E$35*Calculations!E$38*Calculations!I5</f>
        <v>1.5964672486699172</v>
      </c>
    </row>
    <row r="6" spans="1:8" x14ac:dyDescent="0.3">
      <c r="A6">
        <v>4</v>
      </c>
      <c r="B6">
        <v>1.8471521885437054</v>
      </c>
      <c r="C6">
        <f>Calculations!E$35*Calculations!I6*Calculations!E$36</f>
        <v>3.6943043770874109</v>
      </c>
      <c r="D6">
        <f>Calculations!E$35*Calculations!E$38*Calculations!I6</f>
        <v>2.0318674073980758</v>
      </c>
      <c r="E6">
        <f>Calculations!E$35*Calculations!E$37*Calculations!I6</f>
        <v>1.6624369696893349</v>
      </c>
      <c r="F6">
        <f>Calculations!E$35*Calculations!I6*Calculations!E$36</f>
        <v>3.6943043770874109</v>
      </c>
      <c r="G6">
        <f>Calculations!E$35*Calculations!E$37*Calculations!I6</f>
        <v>1.6624369696893349</v>
      </c>
      <c r="H6">
        <f>Calculations!E$35*Calculations!E$38*Calculations!I6</f>
        <v>2.0318674073980758</v>
      </c>
    </row>
    <row r="7" spans="1:8" x14ac:dyDescent="0.3">
      <c r="A7">
        <v>5</v>
      </c>
      <c r="B7">
        <v>2.2429705146602137</v>
      </c>
      <c r="C7">
        <f>Calculations!E$35*Calculations!I7*Calculations!E$36</f>
        <v>4.4859410293204274</v>
      </c>
      <c r="D7">
        <f>Calculations!E$35*Calculations!E$38*Calculations!I7</f>
        <v>2.4672675661262353</v>
      </c>
      <c r="E7">
        <f>Calculations!E$35*Calculations!E$37*Calculations!I7</f>
        <v>2.0186734631941925</v>
      </c>
      <c r="F7">
        <f>Calculations!E$35*Calculations!I7*Calculations!E$36</f>
        <v>4.4859410293204274</v>
      </c>
      <c r="G7">
        <f>Calculations!E$35*Calculations!E$37*Calculations!I7</f>
        <v>2.0186734631941925</v>
      </c>
      <c r="H7">
        <f>Calculations!E$35*Calculations!E$38*Calculations!I7</f>
        <v>2.4672675661262353</v>
      </c>
    </row>
    <row r="8" spans="1:8" x14ac:dyDescent="0.3">
      <c r="A8">
        <v>6</v>
      </c>
      <c r="B8">
        <v>3.1665466089320669</v>
      </c>
      <c r="C8">
        <f>Calculations!E$35*Calculations!I8*Calculations!E$36</f>
        <v>6.3330932178641337</v>
      </c>
      <c r="D8">
        <f>Calculations!E$35*Calculations!E$38*Calculations!I8</f>
        <v>3.4832012698252734</v>
      </c>
      <c r="E8">
        <f>Calculations!E$35*Calculations!E$37*Calculations!I8</f>
        <v>2.8498919480388603</v>
      </c>
      <c r="F8">
        <f>Calculations!E$35*Calculations!I8*Calculations!E$36</f>
        <v>6.3330932178641337</v>
      </c>
      <c r="G8">
        <f>Calculations!E$35*Calculations!E$37*Calculations!I8</f>
        <v>2.8498919480388603</v>
      </c>
      <c r="H8">
        <f>Calculations!E$35*Calculations!E$38*Calculations!I8</f>
        <v>3.4832012698252734</v>
      </c>
    </row>
    <row r="9" spans="1:8" x14ac:dyDescent="0.3">
      <c r="A9">
        <v>7</v>
      </c>
      <c r="B9">
        <v>4.8817593554369365</v>
      </c>
      <c r="C9">
        <f>Calculations!E$35*Calculations!I9*Calculations!E$36</f>
        <v>9.763518710873873</v>
      </c>
      <c r="D9">
        <f>Calculations!E$35*Calculations!E$38*Calculations!I9</f>
        <v>5.3699352909806297</v>
      </c>
      <c r="E9">
        <f>Calculations!E$35*Calculations!E$37*Calculations!I9</f>
        <v>4.3935834198932424</v>
      </c>
      <c r="F9">
        <f>Calculations!E$35*Calculations!I9*Calculations!E$36</f>
        <v>9.763518710873873</v>
      </c>
      <c r="G9">
        <f>Calculations!E$35*Calculations!E$37*Calculations!I9</f>
        <v>4.3935834198932424</v>
      </c>
      <c r="H9">
        <f>Calculations!E$35*Calculations!E$38*Calculations!I9</f>
        <v>5.3699352909806297</v>
      </c>
    </row>
    <row r="10" spans="1:8" x14ac:dyDescent="0.3">
      <c r="A10">
        <v>8</v>
      </c>
      <c r="B10">
        <v>3.9581832611650838</v>
      </c>
      <c r="C10">
        <f>Calculations!E$35*Calculations!I10*Calculations!E$36</f>
        <v>7.9163665223301676</v>
      </c>
      <c r="D10">
        <f>Calculations!E$35*Calculations!E$38*Calculations!I10</f>
        <v>4.3540015872815916</v>
      </c>
      <c r="E10">
        <f>Calculations!E$35*Calculations!E$37*Calculations!I10</f>
        <v>3.5623649350485751</v>
      </c>
      <c r="F10">
        <f>Calculations!E$35*Calculations!I10*Calculations!E$36</f>
        <v>7.9163665223301676</v>
      </c>
      <c r="G10">
        <f>Calculations!E$35*Calculations!E$37*Calculations!I10</f>
        <v>3.5623649350485751</v>
      </c>
      <c r="H10">
        <f>Calculations!E$35*Calculations!E$38*Calculations!I10</f>
        <v>4.3540015872815916</v>
      </c>
    </row>
    <row r="11" spans="1:8" x14ac:dyDescent="0.3">
      <c r="A11">
        <v>9</v>
      </c>
      <c r="B11">
        <v>2.8498919480388603</v>
      </c>
      <c r="C11">
        <f>Calculations!E$35*Calculations!I11*Calculations!E$36</f>
        <v>5.6997838960777205</v>
      </c>
      <c r="D11">
        <f>Calculations!E$35*Calculations!E$38*Calculations!I11</f>
        <v>3.1348811428427465</v>
      </c>
      <c r="E11">
        <f>Calculations!E$35*Calculations!E$37*Calculations!I11</f>
        <v>2.5649027532349744</v>
      </c>
      <c r="F11">
        <f>Calculations!E$35*Calculations!I11*Calculations!E$36</f>
        <v>5.6997838960777205</v>
      </c>
      <c r="G11">
        <f>Calculations!E$35*Calculations!E$37*Calculations!I11</f>
        <v>2.5649027532349744</v>
      </c>
      <c r="H11">
        <f>Calculations!E$35*Calculations!E$38*Calculations!I11</f>
        <v>3.1348811428427465</v>
      </c>
    </row>
    <row r="12" spans="1:8" x14ac:dyDescent="0.3">
      <c r="A12">
        <v>10</v>
      </c>
      <c r="B12">
        <v>2.3749099566990504</v>
      </c>
      <c r="C12">
        <f>Calculations!E$35*Calculations!I12*Calculations!E$36</f>
        <v>4.7498199133981007</v>
      </c>
      <c r="D12">
        <f>Calculations!E$35*Calculations!E$38*Calculations!I12</f>
        <v>2.6124009523689553</v>
      </c>
      <c r="E12">
        <f>Calculations!E$35*Calculations!E$37*Calculations!I12</f>
        <v>2.137418961029145</v>
      </c>
      <c r="F12">
        <f>Calculations!E$35*Calculations!I12*Calculations!E$36</f>
        <v>4.7498199133981007</v>
      </c>
      <c r="G12">
        <f>Calculations!E$35*Calculations!E$37*Calculations!I12</f>
        <v>2.137418961029145</v>
      </c>
      <c r="H12">
        <f>Calculations!E$35*Calculations!E$38*Calculations!I12</f>
        <v>2.6124009523689553</v>
      </c>
    </row>
    <row r="13" spans="1:8" x14ac:dyDescent="0.3">
      <c r="A13">
        <v>11</v>
      </c>
      <c r="B13">
        <v>2.2957462914757487</v>
      </c>
      <c r="C13">
        <f>Calculations!E$35*Calculations!I13*Calculations!E$36</f>
        <v>4.5914925829514974</v>
      </c>
      <c r="D13">
        <f>Calculations!E$35*Calculations!E$38*Calculations!I13</f>
        <v>2.5253209206233236</v>
      </c>
      <c r="E13">
        <f>Calculations!E$35*Calculations!E$37*Calculations!I13</f>
        <v>2.0661716623281738</v>
      </c>
      <c r="F13">
        <f>Calculations!E$35*Calculations!I13*Calculations!E$36</f>
        <v>4.5914925829514974</v>
      </c>
      <c r="G13">
        <f>Calculations!E$35*Calculations!E$37*Calculations!I13</f>
        <v>2.0661716623281738</v>
      </c>
      <c r="H13">
        <f>Calculations!E$35*Calculations!E$38*Calculations!I13</f>
        <v>2.5253209206233236</v>
      </c>
    </row>
    <row r="14" spans="1:8" x14ac:dyDescent="0.3">
      <c r="A14">
        <v>12</v>
      </c>
      <c r="B14">
        <v>2.1638068494369125</v>
      </c>
      <c r="C14">
        <f>Calculations!E$35*Calculations!I14*Calculations!E$36</f>
        <v>4.327613698873825</v>
      </c>
      <c r="D14">
        <f>Calculations!E$35*Calculations!E$38*Calculations!I14</f>
        <v>2.3801875343806036</v>
      </c>
      <c r="E14">
        <f>Calculations!E$35*Calculations!E$37*Calculations!I14</f>
        <v>1.9474261644932209</v>
      </c>
      <c r="F14">
        <f>Calculations!E$35*Calculations!I14*Calculations!E$36</f>
        <v>4.327613698873825</v>
      </c>
      <c r="G14">
        <f>Calculations!E$35*Calculations!E$37*Calculations!I14</f>
        <v>1.9474261644932209</v>
      </c>
      <c r="H14">
        <f>Calculations!E$35*Calculations!E$38*Calculations!I14</f>
        <v>2.3801875343806036</v>
      </c>
    </row>
    <row r="15" spans="1:8" x14ac:dyDescent="0.3">
      <c r="A15">
        <v>13</v>
      </c>
      <c r="B15">
        <v>2.0054795189903087</v>
      </c>
      <c r="C15">
        <f>Calculations!E$35*Calculations!I15*Calculations!E$36</f>
        <v>4.0109590379806175</v>
      </c>
      <c r="D15">
        <f>Calculations!E$35*Calculations!E$38*Calculations!I15</f>
        <v>2.2060274708893397</v>
      </c>
      <c r="E15">
        <f>Calculations!E$35*Calculations!E$37*Calculations!I15</f>
        <v>1.804931567091278</v>
      </c>
      <c r="F15">
        <f>Calculations!E$35*Calculations!I15*Calculations!E$36</f>
        <v>4.0109590379806175</v>
      </c>
      <c r="G15">
        <f>Calculations!E$35*Calculations!E$37*Calculations!I15</f>
        <v>1.804931567091278</v>
      </c>
      <c r="H15">
        <f>Calculations!E$35*Calculations!E$38*Calculations!I15</f>
        <v>2.2060274708893397</v>
      </c>
    </row>
    <row r="16" spans="1:8" x14ac:dyDescent="0.3">
      <c r="A16">
        <v>14</v>
      </c>
      <c r="B16">
        <v>1.9527037421747744</v>
      </c>
      <c r="C16">
        <f>Calculations!E$35*Calculations!I16*Calculations!E$36</f>
        <v>3.9054074843495488</v>
      </c>
      <c r="D16">
        <f>Calculations!E$35*Calculations!E$38*Calculations!I16</f>
        <v>2.1479741163922519</v>
      </c>
      <c r="E16">
        <f>Calculations!E$35*Calculations!E$37*Calculations!I16</f>
        <v>1.7574333679572969</v>
      </c>
      <c r="F16">
        <f>Calculations!E$35*Calculations!I16*Calculations!E$36</f>
        <v>3.9054074843495488</v>
      </c>
      <c r="G16">
        <f>Calculations!E$35*Calculations!E$37*Calculations!I16</f>
        <v>1.7574333679572969</v>
      </c>
      <c r="H16">
        <f>Calculations!E$35*Calculations!E$38*Calculations!I16</f>
        <v>2.1479741163922519</v>
      </c>
    </row>
    <row r="17" spans="1:8" x14ac:dyDescent="0.3">
      <c r="A17">
        <v>15</v>
      </c>
      <c r="B17">
        <v>2.0054795189903087</v>
      </c>
      <c r="C17">
        <f>Calculations!E$35*Calculations!I17*Calculations!E$36</f>
        <v>4.0109590379806175</v>
      </c>
      <c r="D17">
        <f>Calculations!E$35*Calculations!E$38*Calculations!I17</f>
        <v>2.2060274708893397</v>
      </c>
      <c r="E17">
        <f>Calculations!E$35*Calculations!E$37*Calculations!I17</f>
        <v>1.804931567091278</v>
      </c>
      <c r="F17">
        <f>Calculations!E$35*Calculations!I17*Calculations!E$36</f>
        <v>4.0109590379806175</v>
      </c>
      <c r="G17">
        <f>Calculations!E$35*Calculations!E$37*Calculations!I17</f>
        <v>1.804931567091278</v>
      </c>
      <c r="H17">
        <f>Calculations!E$35*Calculations!E$38*Calculations!I17</f>
        <v>2.2060274708893397</v>
      </c>
    </row>
    <row r="18" spans="1:8" x14ac:dyDescent="0.3">
      <c r="A18">
        <v>16</v>
      </c>
      <c r="B18">
        <v>2.9554435016699294</v>
      </c>
      <c r="C18">
        <f>Calculations!E$35*Calculations!I18*Calculations!E$36</f>
        <v>5.9108870033398588</v>
      </c>
      <c r="D18">
        <f>Calculations!E$35*Calculations!E$38*Calculations!I18</f>
        <v>3.2509878518369226</v>
      </c>
      <c r="E18">
        <f>Calculations!E$35*Calculations!E$37*Calculations!I18</f>
        <v>2.6598991515029367</v>
      </c>
      <c r="F18">
        <f>Calculations!E$35*Calculations!I18*Calculations!E$36</f>
        <v>5.9108870033398588</v>
      </c>
      <c r="G18">
        <f>Calculations!E$35*Calculations!E$37*Calculations!I18</f>
        <v>2.6598991515029367</v>
      </c>
      <c r="H18">
        <f>Calculations!E$35*Calculations!E$38*Calculations!I18</f>
        <v>3.2509878518369226</v>
      </c>
    </row>
    <row r="19" spans="1:8" x14ac:dyDescent="0.3">
      <c r="A19">
        <v>17</v>
      </c>
      <c r="B19">
        <v>4.7498199133981007</v>
      </c>
      <c r="C19">
        <f>Calculations!E$35*Calculations!I19*Calculations!E$36</f>
        <v>9.4996398267962014</v>
      </c>
      <c r="D19">
        <f>Calculations!E$35*Calculations!E$38*Calculations!I19</f>
        <v>5.2248019047379106</v>
      </c>
      <c r="E19">
        <f>Calculations!E$35*Calculations!E$37*Calculations!I19</f>
        <v>4.2748379220582899</v>
      </c>
      <c r="F19">
        <f>Calculations!E$35*Calculations!I19*Calculations!E$36</f>
        <v>9.4996398267962014</v>
      </c>
      <c r="G19">
        <f>Calculations!E$35*Calculations!E$37*Calculations!I19</f>
        <v>4.2748379220582899</v>
      </c>
      <c r="H19">
        <f>Calculations!E$35*Calculations!E$38*Calculations!I19</f>
        <v>5.2248019047379106</v>
      </c>
    </row>
    <row r="20" spans="1:8" x14ac:dyDescent="0.3">
      <c r="A20">
        <v>18</v>
      </c>
      <c r="B20">
        <v>5.8053354497087897</v>
      </c>
      <c r="C20">
        <f>Calculations!E$35*Calculations!I20*Calculations!E$36</f>
        <v>11.610670899417579</v>
      </c>
      <c r="D20">
        <f>Calculations!E$35*Calculations!E$38*Calculations!I20</f>
        <v>6.3858689946796687</v>
      </c>
      <c r="E20">
        <f>Calculations!E$35*Calculations!E$37*Calculations!I20</f>
        <v>5.2248019047379106</v>
      </c>
      <c r="F20">
        <f>Calculations!E$35*Calculations!I20*Calculations!E$36</f>
        <v>11.610670899417579</v>
      </c>
      <c r="G20">
        <f>Calculations!E$35*Calculations!E$37*Calculations!I20</f>
        <v>5.2248019047379106</v>
      </c>
      <c r="H20">
        <f>Calculations!E$35*Calculations!E$38*Calculations!I20</f>
        <v>6.3858689946796687</v>
      </c>
    </row>
    <row r="21" spans="1:8" x14ac:dyDescent="0.3">
      <c r="A21">
        <v>19</v>
      </c>
      <c r="B21">
        <v>5.5414565656311172</v>
      </c>
      <c r="C21">
        <f>Calculations!E$35*Calculations!I21*Calculations!E$36</f>
        <v>11.082913131262234</v>
      </c>
      <c r="D21">
        <f>Calculations!E$35*Calculations!E$38*Calculations!I21</f>
        <v>6.0956022221942288</v>
      </c>
      <c r="E21">
        <f>Calculations!E$35*Calculations!E$37*Calculations!I21</f>
        <v>4.9873109090680048</v>
      </c>
      <c r="F21">
        <f>Calculations!E$35*Calculations!I21*Calculations!E$36</f>
        <v>11.082913131262234</v>
      </c>
      <c r="G21">
        <f>Calculations!E$35*Calculations!E$37*Calculations!I21</f>
        <v>4.9873109090680048</v>
      </c>
      <c r="H21">
        <f>Calculations!E$35*Calculations!E$38*Calculations!I21</f>
        <v>6.0956022221942288</v>
      </c>
    </row>
    <row r="22" spans="1:8" x14ac:dyDescent="0.3">
      <c r="A22">
        <v>20</v>
      </c>
      <c r="B22">
        <v>5.1456382395146081</v>
      </c>
      <c r="C22">
        <f>Calculations!E$35*Calculations!I22*Calculations!E$36</f>
        <v>10.291276479029216</v>
      </c>
      <c r="D22">
        <f>Calculations!E$35*Calculations!E$38*Calculations!I22</f>
        <v>5.6602020634660688</v>
      </c>
      <c r="E22">
        <f>Calculations!E$35*Calculations!E$37*Calculations!I22</f>
        <v>4.6310744155631474</v>
      </c>
      <c r="F22">
        <f>Calculations!E$35*Calculations!I22*Calculations!E$36</f>
        <v>10.291276479029216</v>
      </c>
      <c r="G22">
        <f>Calculations!E$35*Calculations!E$37*Calculations!I22</f>
        <v>4.6310744155631474</v>
      </c>
      <c r="H22">
        <f>Calculations!E$35*Calculations!E$38*Calculations!I22</f>
        <v>5.6602020634660688</v>
      </c>
    </row>
    <row r="23" spans="1:8" x14ac:dyDescent="0.3">
      <c r="A23">
        <v>21</v>
      </c>
      <c r="B23">
        <v>4.617880471359264</v>
      </c>
      <c r="C23">
        <f>Calculations!E$35*Calculations!I23*Calculations!E$36</f>
        <v>9.2357609427185281</v>
      </c>
      <c r="D23">
        <f>Calculations!E$35*Calculations!E$38*Calculations!I23</f>
        <v>5.0796685184951906</v>
      </c>
      <c r="E23">
        <f>Calculations!E$35*Calculations!E$37*Calculations!I23</f>
        <v>4.1560924242233375</v>
      </c>
      <c r="F23">
        <f>Calculations!E$35*Calculations!I23*Calculations!E$36</f>
        <v>9.2357609427185281</v>
      </c>
      <c r="G23">
        <f>Calculations!E$35*Calculations!E$37*Calculations!I23</f>
        <v>4.1560924242233375</v>
      </c>
      <c r="H23">
        <f>Calculations!E$35*Calculations!E$38*Calculations!I23</f>
        <v>5.0796685184951906</v>
      </c>
    </row>
    <row r="24" spans="1:8" x14ac:dyDescent="0.3">
      <c r="A24">
        <v>22</v>
      </c>
      <c r="B24">
        <v>3.4304254930097389</v>
      </c>
      <c r="C24">
        <f>Calculations!E$35*Calculations!I24*Calculations!E$36</f>
        <v>6.8608509860194777</v>
      </c>
      <c r="D24">
        <f>Calculations!E$35*Calculations!E$38*Calculations!I24</f>
        <v>3.773468042310713</v>
      </c>
      <c r="E24">
        <f>Calculations!E$35*Calculations!E$37*Calculations!I24</f>
        <v>3.0873829437087648</v>
      </c>
      <c r="F24">
        <f>Calculations!E$35*Calculations!I24*Calculations!E$36</f>
        <v>6.8608509860194777</v>
      </c>
      <c r="G24">
        <f>Calculations!E$35*Calculations!E$37*Calculations!I24</f>
        <v>3.0873829437087648</v>
      </c>
      <c r="H24">
        <f>Calculations!E$35*Calculations!E$38*Calculations!I24</f>
        <v>3.773468042310713</v>
      </c>
    </row>
    <row r="25" spans="1:8" x14ac:dyDescent="0.3">
      <c r="A25">
        <v>23</v>
      </c>
      <c r="B25">
        <v>2.2957462914757487</v>
      </c>
      <c r="C25">
        <f>Calculations!E$35*Calculations!I25*Calculations!E$36</f>
        <v>4.5914925829514974</v>
      </c>
      <c r="D25">
        <f>Calculations!E$35*Calculations!E$38*Calculations!I25</f>
        <v>2.5253209206233236</v>
      </c>
      <c r="E25">
        <f>Calculations!E$35*Calculations!E$37*Calculations!I25</f>
        <v>2.0661716623281738</v>
      </c>
      <c r="F25">
        <f>Calculations!E$35*Calculations!I25*Calculations!E$36</f>
        <v>4.5914925829514974</v>
      </c>
      <c r="G25">
        <f>Calculations!E$35*Calculations!E$37*Calculations!I25</f>
        <v>2.0661716623281738</v>
      </c>
      <c r="H25">
        <f>Calculations!E$35*Calculations!E$38*Calculations!I25</f>
        <v>2.5253209206233236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loads_profile</vt:lpstr>
      <vt:lpstr>Calculations</vt:lpstr>
      <vt:lpstr>summer_no_marae</vt:lpstr>
      <vt:lpstr>summer_marae</vt:lpstr>
      <vt:lpstr>winter_no_marae</vt:lpstr>
      <vt:lpstr>winter_marae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Lange de</cp:lastModifiedBy>
  <dcterms:created xsi:type="dcterms:W3CDTF">2025-11-05T01:22:25Z</dcterms:created>
  <dcterms:modified xsi:type="dcterms:W3CDTF">2025-11-18T03:33:38Z</dcterms:modified>
</cp:coreProperties>
</file>